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Drivers" sheetId="2" state="visible" r:id="rId2"/>
    <sheet xmlns:r="http://schemas.openxmlformats.org/officeDocument/2006/relationships" name="IS" sheetId="3" state="visible" r:id="rId3"/>
    <sheet xmlns:r="http://schemas.openxmlformats.org/officeDocument/2006/relationships" name="BS" sheetId="4" state="visible" r:id="rId4"/>
    <sheet xmlns:r="http://schemas.openxmlformats.org/officeDocument/2006/relationships" name="CF" sheetId="5" state="visible" r:id="rId5"/>
    <sheet xmlns:r="http://schemas.openxmlformats.org/officeDocument/2006/relationships" name="Forecast Bridge" sheetId="6" state="visible" r:id="rId6"/>
    <sheet xmlns:r="http://schemas.openxmlformats.org/officeDocument/2006/relationships" name="Sensitivity" sheetId="7" state="visible" r:id="rId7"/>
    <sheet xmlns:r="http://schemas.openxmlformats.org/officeDocument/2006/relationships" name="Output" sheetId="8" state="visible" r:id="rId8"/>
  </sheets>
  <definedNames>
    <definedName name="Scenario">Drivers!$B$6</definedName>
    <definedName name="iPhone_Units_Growth_Active">Drivers!$G$10</definedName>
    <definedName name="iPhone_ASP_YoY_Active">Drivers!$G$11</definedName>
    <definedName name="iPhone_ASP_Active">Drivers!$G$12</definedName>
    <definedName name="Mac_Units_Growth_Active">Drivers!$G$13</definedName>
    <definedName name="Mac_ASP_YoY_Active">Drivers!$G$14</definedName>
    <definedName name="Mac_ASP_Active">Drivers!$G$15</definedName>
    <definedName name="iPad_Units_Growth_Active">Drivers!$G$16</definedName>
    <definedName name="iPad_ASP_YoY_Active">Drivers!$G$17</definedName>
    <definedName name="iPad_ASP_Active">Drivers!$G$18</definedName>
    <definedName name="Wearables_Home_and_Accessories_Units_Growth_Active">Drivers!$G$19</definedName>
    <definedName name="Wearables_Home_and_Accessories_ASP_YoY_Active">Drivers!$G$20</definedName>
    <definedName name="Wearables_Home_and_Accessories_ASP_Active">Drivers!$G$21</definedName>
    <definedName name="Services_InstalledBase_Growth_Active">Drivers!$G$24</definedName>
    <definedName name="Services_ARPU_YoY_Active">Drivers!$G$25</definedName>
    <definedName name="Services_ARPU_Active">Drivers!$G$26</definedName>
    <definedName name="FX_Impact_Active">Drivers!$G$29</definedName>
    <definedName name="Mix_Impact_Active">Drivers!$G$30</definedName>
    <definedName name="Products_GM_Active">Drivers!$G$33</definedName>
    <definedName name="Services_GM_Active">Drivers!$G$34</definedName>
    <definedName name="SGA_Pct_Rev_Active">Drivers!$G$37</definedName>
    <definedName name="RD_Pct_Rev_Active">Drivers!$G$38</definedName>
    <definedName name="DSO_Active">Drivers!$G$41</definedName>
    <definedName name="DIO_Active">Drivers!$G$42</definedName>
    <definedName name="DPO_Active">Drivers!$G$43</definedName>
    <definedName name="CapEx_Pct_Rev_Active">Drivers!$G$46</definedName>
    <definedName name="Buyback_Pct_FCF_Active">Drivers!$G$47</definedName>
    <definedName name="Dividend_Payout_Active">Drivers!$G$48</definedName>
    <definedName name="Tax_Rate_Active">Drivers!$G$49</definedName>
    <definedName name="Debt_Roll_Active">Drivers!$G$50</definedName>
  </definedNames>
  <calcPr calcId="124519" fullCalcOnLoad="1"/>
</workbook>
</file>

<file path=xl/styles.xml><?xml version="1.0" encoding="utf-8"?>
<styleSheet xmlns="http://schemas.openxmlformats.org/spreadsheetml/2006/main">
  <numFmts count="7">
    <numFmt numFmtId="164" formatCode="0.0%"/>
    <numFmt numFmtId="165" formatCode="$#,##0;($#,##0)"/>
    <numFmt numFmtId="166" formatCode="$#,##0.00;($#,##0.00)"/>
    <numFmt numFmtId="167" formatCode="0.0 &quot;days&quot;"/>
    <numFmt numFmtId="168" formatCode="$#,##0;($#,##0);&quot;-&quot;"/>
    <numFmt numFmtId="169" formatCode="#,##0.0"/>
    <numFmt numFmtId="170" formatCode="0.0"/>
  </numFmts>
  <fonts count="18">
    <font>
      <name val="Calibri"/>
      <family val="2"/>
      <color theme="1"/>
      <sz val="11"/>
      <scheme val="minor"/>
    </font>
    <font>
      <name val="Arial"/>
      <b val="1"/>
      <color rgb="00FFFFFF"/>
      <sz val="14"/>
    </font>
    <font>
      <name val="Arial"/>
      <i val="1"/>
      <color rgb="00404040"/>
      <sz val="9"/>
    </font>
    <font>
      <name val="Arial"/>
      <b val="1"/>
      <sz val="11"/>
    </font>
    <font>
      <name val="Arial"/>
      <b val="1"/>
      <color rgb="000000FF"/>
      <sz val="12"/>
    </font>
    <font>
      <name val="Arial"/>
      <i val="1"/>
      <color rgb="00595959"/>
      <sz val="8"/>
    </font>
    <font>
      <name val="Arial"/>
      <b val="1"/>
      <color rgb="00FFFFFF"/>
      <sz val="10"/>
    </font>
    <font>
      <name val="Arial"/>
      <b val="1"/>
      <color rgb="00FFFFFF"/>
      <sz val="11"/>
    </font>
    <font>
      <name val="Arial"/>
      <sz val="10"/>
    </font>
    <font>
      <name val="Arial"/>
      <i val="1"/>
      <color rgb="00000000"/>
      <sz val="10"/>
    </font>
    <font>
      <name val="Arial"/>
      <color rgb="000000FF"/>
      <sz val="10"/>
    </font>
    <font>
      <name val="Arial"/>
      <color rgb="00000000"/>
      <sz val="10"/>
    </font>
    <font>
      <name val="Arial"/>
      <b val="1"/>
      <sz val="10"/>
    </font>
    <font>
      <name val="Arial"/>
      <b val="1"/>
      <color rgb="00000000"/>
      <sz val="10"/>
    </font>
    <font>
      <name val="Arial"/>
      <color rgb="00000000"/>
      <sz val="11"/>
    </font>
    <font>
      <name val="Arial"/>
      <b val="1"/>
      <color rgb="00000000"/>
      <sz val="11"/>
    </font>
    <font>
      <name val="Aptos"/>
      <sz val="11"/>
    </font>
    <font>
      <name val="Aptos"/>
      <b val="1"/>
      <sz val="11"/>
    </font>
  </fonts>
  <fills count="28">
    <fill>
      <patternFill/>
    </fill>
    <fill>
      <patternFill patternType="gray125"/>
    </fill>
    <fill>
      <patternFill patternType="solid">
        <fgColor rgb="001F1F1F"/>
      </patternFill>
    </fill>
    <fill>
      <patternFill patternType="solid">
        <fgColor rgb="00FFFF00"/>
      </patternFill>
    </fill>
    <fill>
      <patternFill patternType="solid">
        <fgColor rgb="00808080"/>
      </patternFill>
    </fill>
    <fill>
      <patternFill patternType="solid">
        <fgColor rgb="004472C4"/>
      </patternFill>
    </fill>
    <fill>
      <patternFill patternType="solid">
        <fgColor rgb="00FFFFCC"/>
      </patternFill>
    </fill>
    <fill>
      <patternFill patternType="solid">
        <fgColor rgb="00E2EFDA"/>
      </patternFill>
    </fill>
    <fill>
      <patternFill patternType="solid">
        <fgColor rgb="002E75B6"/>
      </patternFill>
    </fill>
    <fill>
      <patternFill patternType="solid">
        <fgColor rgb="00D9D9D9"/>
      </patternFill>
    </fill>
    <fill>
      <patternFill patternType="solid">
        <fgColor rgb="00595959"/>
      </patternFill>
    </fill>
    <fill>
      <patternFill patternType="solid">
        <fgColor rgb="00548235"/>
      </patternFill>
    </fill>
    <fill>
      <patternFill patternType="solid">
        <fgColor rgb="007F7F7F"/>
      </patternFill>
    </fill>
    <fill>
      <patternFill patternType="solid">
        <fgColor rgb="00C55A11"/>
      </patternFill>
    </fill>
    <fill>
      <patternFill patternType="solid">
        <fgColor rgb="00FCE4D6"/>
      </patternFill>
    </fill>
    <fill>
      <patternFill patternType="solid">
        <fgColor rgb="00FFE699"/>
      </patternFill>
    </fill>
    <fill>
      <patternFill patternType="solid">
        <fgColor rgb="00404040"/>
      </patternFill>
    </fill>
    <fill>
      <patternFill patternType="solid">
        <fgColor rgb="001F7A6C"/>
      </patternFill>
    </fill>
    <fill>
      <patternFill patternType="solid">
        <fgColor rgb="00BF8F00"/>
      </patternFill>
    </fill>
    <fill>
      <patternFill patternType="solid">
        <fgColor rgb="00FFF2CC"/>
      </patternFill>
    </fill>
    <fill>
      <patternFill patternType="solid">
        <fgColor rgb="00D9EAD3"/>
      </patternFill>
    </fill>
    <fill>
      <patternFill patternType="solid">
        <fgColor rgb="001F4E79"/>
      </patternFill>
    </fill>
    <fill>
      <patternFill patternType="solid">
        <fgColor rgb="00D9EAF7"/>
      </patternFill>
    </fill>
    <fill>
      <patternFill patternType="solid">
        <fgColor rgb="007030A0"/>
      </patternFill>
    </fill>
    <fill>
      <patternFill patternType="solid">
        <fgColor rgb="00F2F2F2"/>
      </patternFill>
    </fill>
    <fill>
      <patternFill patternType="solid">
        <fgColor rgb="00E7E6E6"/>
      </patternFill>
    </fill>
    <fill>
      <patternFill patternType="solid">
        <fgColor rgb="00FFFFFF"/>
      </patternFill>
    </fill>
    <fill>
      <patternFill patternType="solid">
        <fgColor rgb="00E2F0D9"/>
      </patternFill>
    </fill>
  </fills>
  <borders count="11">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
      <left style="thin">
        <color rgb="00D9D9D9"/>
      </left>
      <right style="thin">
        <color rgb="00D9D9D9"/>
      </right>
      <top style="thin">
        <color rgb="00D9D9D9"/>
      </top>
      <bottom style="thin">
        <color rgb="00D9D9D9"/>
      </bottom>
    </border>
    <border>
      <left/>
      <right/>
      <top style="thin">
        <color rgb="00D9D9D9"/>
      </top>
      <bottom/>
      <diagonal/>
    </border>
    <border>
      <left/>
      <right style="thin">
        <color rgb="00D9D9D9"/>
      </right>
      <top style="thin">
        <color rgb="00D9D9D9"/>
      </top>
      <bottom/>
      <diagonal/>
    </border>
    <border>
      <left/>
      <right/>
      <top style="thin">
        <color rgb="00D9D9D9"/>
      </top>
      <bottom style="thin">
        <color rgb="00D9D9D9"/>
      </bottom>
      <diagonal/>
    </border>
    <border>
      <left/>
      <right style="thin">
        <color rgb="00D9D9D9"/>
      </right>
      <top style="thin">
        <color rgb="00D9D9D9"/>
      </top>
      <bottom style="thin">
        <color rgb="00D9D9D9"/>
      </bottom>
      <diagonal/>
    </border>
  </borders>
  <cellStyleXfs count="1">
    <xf numFmtId="0" fontId="0" fillId="0" borderId="0"/>
  </cellStyleXfs>
  <cellXfs count="222">
    <xf numFmtId="0" fontId="0" fillId="0" borderId="0" pivotButton="0" quotePrefix="0" xfId="0"/>
    <xf numFmtId="0" fontId="1" fillId="2" borderId="0" applyAlignment="1" pivotButton="0" quotePrefix="0" xfId="0">
      <alignment horizontal="left" vertical="center"/>
    </xf>
    <xf numFmtId="0" fontId="2" fillId="0" borderId="0" applyAlignment="1" pivotButton="0" quotePrefix="0" xfId="0">
      <alignment vertical="top" wrapText="1"/>
    </xf>
    <xf numFmtId="0" fontId="3" fillId="0" borderId="0" pivotButton="0" quotePrefix="0" xfId="0"/>
    <xf numFmtId="0" fontId="4" fillId="3" borderId="1" applyAlignment="1" pivotButton="0" quotePrefix="0" xfId="0">
      <alignment horizontal="center" vertical="center"/>
    </xf>
    <xf numFmtId="0" fontId="5" fillId="0" borderId="0" pivotButton="0" quotePrefix="0" xfId="0"/>
    <xf numFmtId="0" fontId="6" fillId="4" borderId="1" applyAlignment="1" pivotButton="0" quotePrefix="0" xfId="0">
      <alignment horizontal="center" vertical="center"/>
    </xf>
    <xf numFmtId="0" fontId="7" fillId="5" borderId="0" applyAlignment="1" pivotButton="0" quotePrefix="0" xfId="0">
      <alignment horizontal="left" vertical="center"/>
    </xf>
    <xf numFmtId="0" fontId="8" fillId="0" borderId="1" pivotButton="0" quotePrefix="0" xfId="0"/>
    <xf numFmtId="0" fontId="8" fillId="0" borderId="1" applyAlignment="1" pivotButton="0" quotePrefix="0" xfId="0">
      <alignment horizontal="center" vertical="center"/>
    </xf>
    <xf numFmtId="164" fontId="9" fillId="0" borderId="1" applyAlignment="1" pivotButton="0" quotePrefix="0" xfId="0">
      <alignment horizontal="center" vertical="center"/>
    </xf>
    <xf numFmtId="164" fontId="10" fillId="6" borderId="1" applyAlignment="1" pivotButton="0" quotePrefix="0" xfId="0">
      <alignment horizontal="center" vertical="center"/>
    </xf>
    <xf numFmtId="164" fontId="11" fillId="7" borderId="1" applyAlignment="1" pivotButton="0" quotePrefix="0" xfId="0">
      <alignment horizontal="center" vertical="center"/>
    </xf>
    <xf numFmtId="0" fontId="5" fillId="0" borderId="1" applyAlignment="1" pivotButton="0" quotePrefix="0" xfId="0">
      <alignment vertical="top" wrapText="1"/>
    </xf>
    <xf numFmtId="0" fontId="9" fillId="0" borderId="1" applyAlignment="1" pivotButton="0" quotePrefix="0" xfId="0">
      <alignment horizontal="center" vertical="center"/>
    </xf>
    <xf numFmtId="165" fontId="9" fillId="0" borderId="1" applyAlignment="1" pivotButton="0" quotePrefix="0" xfId="0">
      <alignment horizontal="center" vertical="center"/>
    </xf>
    <xf numFmtId="165" fontId="11" fillId="6" borderId="1" applyAlignment="1" pivotButton="0" quotePrefix="0" xfId="0">
      <alignment horizontal="center" vertical="center"/>
    </xf>
    <xf numFmtId="165" fontId="11" fillId="7" borderId="1" applyAlignment="1" pivotButton="0" quotePrefix="0" xfId="0">
      <alignment horizontal="center" vertical="center"/>
    </xf>
    <xf numFmtId="166" fontId="9" fillId="0" borderId="1" applyAlignment="1" pivotButton="0" quotePrefix="0" xfId="0">
      <alignment horizontal="center" vertical="center"/>
    </xf>
    <xf numFmtId="166" fontId="11" fillId="6" borderId="1" applyAlignment="1" pivotButton="0" quotePrefix="0" xfId="0">
      <alignment horizontal="center" vertical="center"/>
    </xf>
    <xf numFmtId="166" fontId="11" fillId="7" borderId="1" applyAlignment="1" pivotButton="0" quotePrefix="0" xfId="0">
      <alignment horizontal="center" vertical="center"/>
    </xf>
    <xf numFmtId="167" fontId="9" fillId="0" borderId="1" applyAlignment="1" pivotButton="0" quotePrefix="0" xfId="0">
      <alignment horizontal="center" vertical="center"/>
    </xf>
    <xf numFmtId="167" fontId="10" fillId="6" borderId="1" applyAlignment="1" pivotButton="0" quotePrefix="0" xfId="0">
      <alignment horizontal="center" vertical="center"/>
    </xf>
    <xf numFmtId="167" fontId="11" fillId="7" borderId="1" applyAlignment="1" pivotButton="0" quotePrefix="0" xfId="0">
      <alignment horizontal="center" vertical="center"/>
    </xf>
    <xf numFmtId="168" fontId="10" fillId="6" borderId="1" applyAlignment="1" pivotButton="0" quotePrefix="0" xfId="0">
      <alignment horizontal="center" vertical="center"/>
    </xf>
    <xf numFmtId="168" fontId="11" fillId="7" borderId="1" applyAlignment="1" pivotButton="0" quotePrefix="0" xfId="0">
      <alignment horizontal="center" vertical="center"/>
    </xf>
    <xf numFmtId="0" fontId="5" fillId="0" borderId="0" applyAlignment="1" pivotButton="0" quotePrefix="0" xfId="0">
      <alignment vertical="top" wrapText="1"/>
    </xf>
    <xf numFmtId="0" fontId="0" fillId="0" borderId="4" pivotButton="0" quotePrefix="0" xfId="0"/>
    <xf numFmtId="0" fontId="0" fillId="0" borderId="5" pivotButton="0" quotePrefix="0" xfId="0"/>
    <xf numFmtId="0" fontId="6" fillId="8" borderId="1" applyAlignment="1" pivotButton="0" quotePrefix="0" xfId="0">
      <alignment horizontal="center" vertical="center"/>
    </xf>
    <xf numFmtId="0" fontId="8" fillId="0" borderId="1" applyAlignment="1" pivotButton="0" quotePrefix="0" xfId="0">
      <alignment horizontal="left" vertical="center"/>
    </xf>
    <xf numFmtId="164" fontId="11" fillId="0" borderId="1" applyAlignment="1" pivotButton="0" quotePrefix="0" xfId="0">
      <alignment horizontal="center" vertical="center"/>
    </xf>
    <xf numFmtId="0" fontId="12" fillId="0" borderId="1" applyAlignment="1" pivotButton="0" quotePrefix="0" xfId="0">
      <alignment horizontal="left" vertical="center"/>
    </xf>
    <xf numFmtId="0" fontId="5" fillId="0" borderId="0" applyAlignment="1" pivotButton="0" quotePrefix="0" xfId="0">
      <alignment horizontal="left" vertical="center"/>
    </xf>
    <xf numFmtId="165" fontId="10" fillId="6" borderId="1" applyAlignment="1" pivotButton="0" quotePrefix="0" xfId="0">
      <alignment horizontal="center" vertical="center"/>
    </xf>
    <xf numFmtId="169" fontId="11" fillId="0" borderId="1" applyAlignment="1" pivotButton="0" quotePrefix="0" xfId="0">
      <alignment horizontal="center" vertical="center"/>
    </xf>
    <xf numFmtId="0" fontId="5" fillId="0" borderId="1" applyAlignment="1" pivotButton="0" quotePrefix="0" xfId="0">
      <alignment horizontal="center" vertical="center"/>
    </xf>
    <xf numFmtId="165" fontId="11" fillId="9" borderId="1" applyAlignment="1" pivotButton="0" quotePrefix="0" xfId="0">
      <alignment horizontal="center" vertical="center"/>
    </xf>
    <xf numFmtId="165" fontId="13" fillId="7" borderId="1" applyAlignment="1" pivotButton="0" quotePrefix="0" xfId="0">
      <alignment horizontal="center" vertical="center"/>
    </xf>
    <xf numFmtId="165" fontId="13" fillId="9" borderId="1" applyAlignment="1" pivotButton="0" quotePrefix="0" xfId="0">
      <alignment horizontal="center" vertical="center"/>
    </xf>
    <xf numFmtId="169" fontId="11" fillId="7" borderId="1" applyAlignment="1" pivotButton="0" quotePrefix="0" xfId="0">
      <alignment horizontal="center" vertical="center"/>
    </xf>
    <xf numFmtId="166" fontId="10" fillId="6" borderId="1" applyAlignment="1" pivotButton="0" quotePrefix="0" xfId="0">
      <alignment horizontal="center" vertical="center"/>
    </xf>
    <xf numFmtId="166" fontId="13" fillId="7" borderId="1" applyAlignment="1" pivotButton="0" quotePrefix="0" xfId="0">
      <alignment horizontal="center" vertical="center"/>
    </xf>
    <xf numFmtId="0" fontId="6" fillId="10" borderId="1" applyAlignment="1" pivotButton="0" quotePrefix="0" xfId="0">
      <alignment horizontal="center" vertical="center"/>
    </xf>
    <xf numFmtId="0" fontId="6" fillId="11" borderId="1" applyAlignment="1" pivotButton="0" quotePrefix="0" xfId="0">
      <alignment horizontal="center" vertical="center"/>
    </xf>
    <xf numFmtId="0" fontId="6" fillId="12" borderId="1" applyAlignment="1" pivotButton="0" quotePrefix="0" xfId="0">
      <alignment horizontal="center" vertical="center"/>
    </xf>
    <xf numFmtId="0" fontId="6" fillId="13" borderId="1" applyAlignment="1" pivotButton="0" quotePrefix="0" xfId="0">
      <alignment horizontal="center" vertical="center"/>
    </xf>
    <xf numFmtId="165" fontId="11" fillId="14" borderId="1" applyAlignment="1" pivotButton="0" quotePrefix="0" xfId="0">
      <alignment horizontal="center" vertical="center"/>
    </xf>
    <xf numFmtId="164" fontId="11" fillId="14" borderId="1" applyAlignment="1" pivotButton="0" quotePrefix="0" xfId="0">
      <alignment horizontal="center" vertical="center"/>
    </xf>
    <xf numFmtId="165" fontId="11" fillId="15" borderId="1" applyAlignment="1" pivotButton="0" quotePrefix="0" xfId="0">
      <alignment horizontal="center" vertical="center"/>
    </xf>
    <xf numFmtId="169" fontId="11" fillId="14" borderId="1" applyAlignment="1" pivotButton="0" quotePrefix="0" xfId="0">
      <alignment horizontal="center" vertical="center"/>
    </xf>
    <xf numFmtId="169" fontId="11" fillId="9" borderId="1" applyAlignment="1" pivotButton="0" quotePrefix="0" xfId="0">
      <alignment horizontal="center" vertical="center"/>
    </xf>
    <xf numFmtId="166" fontId="11" fillId="14" borderId="1" applyAlignment="1" pivotButton="0" quotePrefix="0" xfId="0">
      <alignment horizontal="center" vertical="center"/>
    </xf>
    <xf numFmtId="166" fontId="13" fillId="9" borderId="1" applyAlignment="1" pivotButton="0" quotePrefix="0" xfId="0">
      <alignment horizontal="center" vertical="center"/>
    </xf>
    <xf numFmtId="0" fontId="7" fillId="5" borderId="0" applyAlignment="1" pivotButton="0" quotePrefix="0" xfId="0">
      <alignment vertical="top" wrapText="1"/>
    </xf>
    <xf numFmtId="0" fontId="8" fillId="0" borderId="1" applyAlignment="1" pivotButton="0" quotePrefix="0" xfId="0">
      <alignment vertical="top" wrapText="1"/>
    </xf>
    <xf numFmtId="165" fontId="11" fillId="0" borderId="1" applyAlignment="1" pivotButton="0" quotePrefix="0" xfId="0">
      <alignment horizontal="center" vertical="center"/>
    </xf>
    <xf numFmtId="0" fontId="11" fillId="0" borderId="1" applyAlignment="1" pivotButton="0" quotePrefix="0" xfId="0">
      <alignment horizontal="center" vertical="center"/>
    </xf>
    <xf numFmtId="164" fontId="11" fillId="15" borderId="1" applyAlignment="1" pivotButton="0" quotePrefix="0" xfId="0">
      <alignment horizontal="center" vertical="center"/>
    </xf>
    <xf numFmtId="0" fontId="6" fillId="16" borderId="1" applyAlignment="1" pivotButton="0" quotePrefix="0" xfId="0">
      <alignment horizontal="center" vertical="center"/>
    </xf>
    <xf numFmtId="0" fontId="6" fillId="17" borderId="1" applyAlignment="1" pivotButton="0" quotePrefix="0" xfId="0">
      <alignment horizontal="center" vertical="center"/>
    </xf>
    <xf numFmtId="0" fontId="6" fillId="18" borderId="1" applyAlignment="1" pivotButton="0" quotePrefix="0" xfId="0">
      <alignment horizontal="center" vertical="center"/>
    </xf>
    <xf numFmtId="165" fontId="11" fillId="20" borderId="1" applyAlignment="1" pivotButton="0" quotePrefix="0" xfId="0">
      <alignment horizontal="center" vertical="center"/>
    </xf>
    <xf numFmtId="165" fontId="11" fillId="19" borderId="1" applyAlignment="1" pivotButton="0" quotePrefix="0" xfId="0">
      <alignment horizontal="center" vertical="center"/>
    </xf>
    <xf numFmtId="164" fontId="11" fillId="19" borderId="1" applyAlignment="1" pivotButton="0" quotePrefix="0" xfId="0">
      <alignment horizontal="center" vertical="center"/>
    </xf>
    <xf numFmtId="165" fontId="13" fillId="20" borderId="1" applyAlignment="1" pivotButton="0" quotePrefix="0" xfId="0">
      <alignment horizontal="center" vertical="center"/>
    </xf>
    <xf numFmtId="169" fontId="11" fillId="19" borderId="1" applyAlignment="1" pivotButton="0" quotePrefix="0" xfId="0">
      <alignment horizontal="center" vertical="center"/>
    </xf>
    <xf numFmtId="169" fontId="11" fillId="20" borderId="1" applyAlignment="1" pivotButton="0" quotePrefix="0" xfId="0">
      <alignment horizontal="center" vertical="center"/>
    </xf>
    <xf numFmtId="166" fontId="11" fillId="19" borderId="1" applyAlignment="1" pivotButton="0" quotePrefix="0" xfId="0">
      <alignment horizontal="center" vertical="center"/>
    </xf>
    <xf numFmtId="166" fontId="13" fillId="20" borderId="1" applyAlignment="1" pivotButton="0" quotePrefix="0" xfId="0">
      <alignment horizontal="center" vertical="center"/>
    </xf>
    <xf numFmtId="0" fontId="6" fillId="21" borderId="1" applyAlignment="1" pivotButton="0" quotePrefix="0" xfId="0">
      <alignment horizontal="center" vertical="center"/>
    </xf>
    <xf numFmtId="165" fontId="11" fillId="22" borderId="1" applyAlignment="1" pivotButton="0" quotePrefix="0" xfId="0">
      <alignment horizontal="center" vertical="center"/>
    </xf>
    <xf numFmtId="165" fontId="13" fillId="22" borderId="1" applyAlignment="1" pivotButton="0" quotePrefix="0" xfId="0">
      <alignment horizontal="center" vertical="center"/>
    </xf>
    <xf numFmtId="169" fontId="11" fillId="22" borderId="1" applyAlignment="1" pivotButton="0" quotePrefix="0" xfId="0">
      <alignment horizontal="center" vertical="center"/>
    </xf>
    <xf numFmtId="166" fontId="13" fillId="22" borderId="1" applyAlignment="1" pivotButton="0" quotePrefix="0" xfId="0">
      <alignment horizontal="center" vertical="center"/>
    </xf>
    <xf numFmtId="0" fontId="6" fillId="23" borderId="1" applyAlignment="1" pivotButton="0" quotePrefix="0" xfId="0">
      <alignment horizontal="center" vertical="center"/>
    </xf>
    <xf numFmtId="165" fontId="12" fillId="7" borderId="1" applyAlignment="1" pivotButton="0" quotePrefix="0" xfId="0">
      <alignment horizontal="center" vertical="center"/>
    </xf>
    <xf numFmtId="165" fontId="12" fillId="9" borderId="1" applyAlignment="1" pivotButton="0" quotePrefix="0" xfId="0">
      <alignment horizontal="center" vertical="center"/>
    </xf>
    <xf numFmtId="165" fontId="12" fillId="0" borderId="1" applyAlignment="1" pivotButton="0" quotePrefix="0" xfId="0">
      <alignment horizontal="center" vertical="center"/>
    </xf>
    <xf numFmtId="0" fontId="12" fillId="0" borderId="1" applyAlignment="1" pivotButton="0" quotePrefix="0" xfId="0">
      <alignment horizontal="center" vertical="center"/>
    </xf>
    <xf numFmtId="0" fontId="12" fillId="15" borderId="1" applyAlignment="1" pivotButton="0" quotePrefix="0" xfId="0">
      <alignment vertical="top" wrapText="1"/>
    </xf>
    <xf numFmtId="0" fontId="7" fillId="5" borderId="1" applyAlignment="1" pivotButton="0" quotePrefix="0" xfId="0">
      <alignment horizontal="left" vertical="center"/>
    </xf>
    <xf numFmtId="0" fontId="6" fillId="5" borderId="1" applyAlignment="1" pivotButton="0" quotePrefix="0" xfId="0">
      <alignment horizontal="center" vertical="center"/>
    </xf>
    <xf numFmtId="164" fontId="11" fillId="9" borderId="1" applyAlignment="1" pivotButton="0" quotePrefix="0" xfId="0">
      <alignment horizontal="center" vertical="center"/>
    </xf>
    <xf numFmtId="0" fontId="7" fillId="13" borderId="1" applyAlignment="1" pivotButton="0" quotePrefix="0" xfId="0">
      <alignment horizontal="left" vertical="center"/>
    </xf>
    <xf numFmtId="0" fontId="12" fillId="9" borderId="1" applyAlignment="1" pivotButton="0" quotePrefix="0" xfId="0">
      <alignment horizontal="left" vertical="center"/>
    </xf>
    <xf numFmtId="164" fontId="12" fillId="9" borderId="1" applyAlignment="1" pivotButton="0" quotePrefix="0" xfId="0">
      <alignment horizontal="center" vertical="center"/>
    </xf>
    <xf numFmtId="0" fontId="12" fillId="9" borderId="1" applyAlignment="1" pivotButton="0" quotePrefix="0" xfId="0">
      <alignment vertical="top" wrapText="1"/>
    </xf>
    <xf numFmtId="0" fontId="7" fillId="18" borderId="1" applyAlignment="1" pivotButton="0" quotePrefix="0" xfId="0">
      <alignment horizontal="left" vertical="center"/>
    </xf>
    <xf numFmtId="0" fontId="7" fillId="17" borderId="1" applyAlignment="1" pivotButton="0" quotePrefix="0" xfId="0">
      <alignment horizontal="left" vertical="center"/>
    </xf>
    <xf numFmtId="170" fontId="11" fillId="7" borderId="1" applyAlignment="1" pivotButton="0" quotePrefix="0" xfId="0">
      <alignment horizontal="center" vertical="center"/>
    </xf>
    <xf numFmtId="0" fontId="7" fillId="23" borderId="1" applyAlignment="1" pivotButton="0" quotePrefix="0" xfId="0">
      <alignment horizontal="left" vertical="center"/>
    </xf>
    <xf numFmtId="0" fontId="12" fillId="19" borderId="1" applyAlignment="1" pivotButton="0" quotePrefix="0" xfId="0">
      <alignment horizontal="center" vertical="center"/>
    </xf>
    <xf numFmtId="0" fontId="8" fillId="9" borderId="1" applyAlignment="1" pivotButton="0" quotePrefix="0" xfId="0">
      <alignment horizontal="left" vertical="center"/>
    </xf>
    <xf numFmtId="166" fontId="12" fillId="9" borderId="1" applyAlignment="1" pivotButton="0" quotePrefix="0" xfId="0">
      <alignment horizontal="center" vertical="center"/>
    </xf>
    <xf numFmtId="166" fontId="11" fillId="9" borderId="1" applyAlignment="1" pivotButton="0" quotePrefix="0" xfId="0">
      <alignment horizontal="center" vertical="center"/>
    </xf>
    <xf numFmtId="0" fontId="12" fillId="9" borderId="1" applyAlignment="1" pivotButton="0" quotePrefix="0" xfId="0">
      <alignment horizontal="center" vertical="center"/>
    </xf>
    <xf numFmtId="0" fontId="5" fillId="9" borderId="1" applyAlignment="1" pivotButton="0" quotePrefix="0" xfId="0">
      <alignment vertical="top" wrapText="1"/>
    </xf>
    <xf numFmtId="165" fontId="12" fillId="19" borderId="1" applyAlignment="1" pivotButton="0" quotePrefix="0" xfId="0">
      <alignment horizontal="center" vertical="center"/>
    </xf>
    <xf numFmtId="166" fontId="12" fillId="19" borderId="1" applyAlignment="1" pivotButton="0" quotePrefix="0" xfId="0">
      <alignment horizontal="center" vertical="center"/>
    </xf>
    <xf numFmtId="166" fontId="11" fillId="0" borderId="1" applyAlignment="1" pivotButton="0" quotePrefix="0" xfId="0">
      <alignment horizontal="center" vertical="center"/>
    </xf>
    <xf numFmtId="0" fontId="12" fillId="13" borderId="1" applyAlignment="1" pivotButton="0" quotePrefix="0" xfId="0">
      <alignment horizontal="left" vertical="center"/>
    </xf>
    <xf numFmtId="0" fontId="12" fillId="19" borderId="1" applyAlignment="1" pivotButton="0" quotePrefix="0" xfId="0">
      <alignment horizontal="left" vertical="center"/>
    </xf>
    <xf numFmtId="0" fontId="0" fillId="13" borderId="1" applyAlignment="1" pivotButton="0" quotePrefix="0" xfId="0">
      <alignment horizontal="center" vertical="center"/>
    </xf>
    <xf numFmtId="0" fontId="6" fillId="19" borderId="1" applyAlignment="1" pivotButton="0" quotePrefix="0" xfId="0">
      <alignment horizontal="center" vertical="center"/>
    </xf>
    <xf numFmtId="0" fontId="12" fillId="7" borderId="1" applyAlignment="1" pivotButton="0" quotePrefix="0" xfId="0">
      <alignment horizontal="center" vertical="center"/>
    </xf>
    <xf numFmtId="0" fontId="8" fillId="24" borderId="1" applyAlignment="1" pivotButton="0" quotePrefix="0" xfId="0">
      <alignment horizontal="left" vertical="center"/>
    </xf>
    <xf numFmtId="0" fontId="8" fillId="24" borderId="1" applyAlignment="1" pivotButton="0" quotePrefix="0" xfId="0">
      <alignment horizontal="center" vertical="center"/>
    </xf>
    <xf numFmtId="165" fontId="11" fillId="24" borderId="1" applyAlignment="1" pivotButton="0" quotePrefix="0" xfId="0">
      <alignment horizontal="center" vertical="center"/>
    </xf>
    <xf numFmtId="0" fontId="5" fillId="24" borderId="1" applyAlignment="1" pivotButton="0" quotePrefix="0" xfId="0">
      <alignment horizontal="left" vertical="center"/>
    </xf>
    <xf numFmtId="0" fontId="5" fillId="24" borderId="1" applyAlignment="1" pivotButton="0" quotePrefix="0" xfId="0">
      <alignment vertical="top" wrapText="1"/>
    </xf>
    <xf numFmtId="164" fontId="11" fillId="24" borderId="1" applyAlignment="1" pivotButton="0" quotePrefix="0" xfId="0">
      <alignment horizontal="center" vertical="center"/>
    </xf>
    <xf numFmtId="166" fontId="11" fillId="24" borderId="1" applyAlignment="1" pivotButton="0" quotePrefix="0" xfId="0">
      <alignment horizontal="center" vertical="center"/>
    </xf>
    <xf numFmtId="0" fontId="5" fillId="0" borderId="1" applyAlignment="1" pivotButton="0" quotePrefix="0" xfId="0">
      <alignment horizontal="left" vertical="center"/>
    </xf>
    <xf numFmtId="170" fontId="11" fillId="0" borderId="1" applyAlignment="1" pivotButton="0" quotePrefix="0" xfId="0">
      <alignment horizontal="center" vertical="center"/>
    </xf>
    <xf numFmtId="0" fontId="8" fillId="19" borderId="1" applyAlignment="1" pivotButton="0" quotePrefix="0" xfId="0">
      <alignment horizontal="left" vertical="center"/>
    </xf>
    <xf numFmtId="0" fontId="8" fillId="19" borderId="1" applyAlignment="1" pivotButton="0" quotePrefix="0" xfId="0">
      <alignment horizontal="center" vertical="center"/>
    </xf>
    <xf numFmtId="0" fontId="5" fillId="19" borderId="1" applyAlignment="1" pivotButton="0" quotePrefix="0" xfId="0">
      <alignment horizontal="left" vertical="center"/>
    </xf>
    <xf numFmtId="0" fontId="5" fillId="19" borderId="1" applyAlignment="1" pivotButton="0" quotePrefix="0" xfId="0">
      <alignment vertical="top" wrapText="1"/>
    </xf>
    <xf numFmtId="0" fontId="8" fillId="14" borderId="1" applyAlignment="1" pivotButton="0" quotePrefix="0" xfId="0">
      <alignment horizontal="left" vertical="center"/>
    </xf>
    <xf numFmtId="0" fontId="8" fillId="14" borderId="1" applyAlignment="1" pivotButton="0" quotePrefix="0" xfId="0">
      <alignment horizontal="center" vertical="center"/>
    </xf>
    <xf numFmtId="165" fontId="10" fillId="14" borderId="1" applyAlignment="1" pivotButton="0" quotePrefix="0" xfId="0">
      <alignment horizontal="center" vertical="center"/>
    </xf>
    <xf numFmtId="0" fontId="5" fillId="14" borderId="1" applyAlignment="1" pivotButton="0" quotePrefix="0" xfId="0">
      <alignment horizontal="left" vertical="center"/>
    </xf>
    <xf numFmtId="0" fontId="5" fillId="14" borderId="1" applyAlignment="1" pivotButton="0" quotePrefix="0" xfId="0">
      <alignment vertical="top" wrapText="1"/>
    </xf>
    <xf numFmtId="164" fontId="10" fillId="14" borderId="1" applyAlignment="1" pivotButton="0" quotePrefix="0" xfId="0">
      <alignment horizontal="center" vertical="center"/>
    </xf>
    <xf numFmtId="166" fontId="10" fillId="14" borderId="1" applyAlignment="1" pivotButton="0" quotePrefix="0" xfId="0">
      <alignment horizontal="center" vertical="center"/>
    </xf>
    <xf numFmtId="0" fontId="1" fillId="21" borderId="6" applyAlignment="1" pivotButton="0" quotePrefix="0" xfId="0">
      <alignment horizontal="left" vertical="center"/>
    </xf>
    <xf numFmtId="0" fontId="11" fillId="25" borderId="6" applyAlignment="1" pivotButton="0" quotePrefix="0" xfId="0">
      <alignment horizontal="left" vertical="center"/>
    </xf>
    <xf numFmtId="0" fontId="9" fillId="25" borderId="6" applyAlignment="1" pivotButton="0" quotePrefix="0" xfId="0">
      <alignment horizontal="left" vertical="center" wrapText="1"/>
    </xf>
    <xf numFmtId="0" fontId="14" fillId="0" borderId="6" applyAlignment="1" pivotButton="0" quotePrefix="0" xfId="0">
      <alignment horizontal="left" vertical="center"/>
    </xf>
    <xf numFmtId="0" fontId="6" fillId="21" borderId="6" applyAlignment="1" pivotButton="0" quotePrefix="0" xfId="0">
      <alignment horizontal="left" vertical="center"/>
    </xf>
    <xf numFmtId="0" fontId="11" fillId="25" borderId="6" applyAlignment="1" pivotButton="0" quotePrefix="0" xfId="0">
      <alignment horizontal="left" vertical="top" wrapText="1"/>
    </xf>
    <xf numFmtId="0" fontId="7" fillId="21" borderId="6" applyAlignment="1" pivotButton="0" quotePrefix="0" xfId="0">
      <alignment horizontal="left" vertical="center"/>
    </xf>
    <xf numFmtId="0" fontId="2" fillId="25" borderId="6" applyAlignment="1" pivotButton="0" quotePrefix="0" xfId="0">
      <alignment horizontal="left" vertical="top" wrapText="1"/>
    </xf>
    <xf numFmtId="0" fontId="15" fillId="25" borderId="6" applyAlignment="1" pivotButton="0" quotePrefix="0" xfId="0">
      <alignment horizontal="left" vertical="center"/>
    </xf>
    <xf numFmtId="0" fontId="4" fillId="3" borderId="6" applyAlignment="1" pivotButton="0" quotePrefix="0" xfId="0">
      <alignment horizontal="center" vertical="center"/>
    </xf>
    <xf numFmtId="0" fontId="5" fillId="25" borderId="6" applyAlignment="1" pivotButton="0" quotePrefix="0" xfId="0">
      <alignment horizontal="left" vertical="center"/>
    </xf>
    <xf numFmtId="0" fontId="6" fillId="4" borderId="6" applyAlignment="1" pivotButton="0" quotePrefix="0" xfId="0">
      <alignment horizontal="center" vertical="center"/>
    </xf>
    <xf numFmtId="0" fontId="7" fillId="5" borderId="6" applyAlignment="1" pivotButton="0" quotePrefix="0" xfId="0">
      <alignment horizontal="left" vertical="center"/>
    </xf>
    <xf numFmtId="0" fontId="11" fillId="25" borderId="6" applyAlignment="1" pivotButton="0" quotePrefix="0" xfId="0">
      <alignment horizontal="center" vertical="center"/>
    </xf>
    <xf numFmtId="164" fontId="9" fillId="25" borderId="6" applyAlignment="1" pivotButton="0" quotePrefix="0" xfId="0">
      <alignment horizontal="center" vertical="center"/>
    </xf>
    <xf numFmtId="164" fontId="10" fillId="6" borderId="6" applyAlignment="1" pivotButton="0" quotePrefix="0" xfId="0">
      <alignment horizontal="center" vertical="center"/>
    </xf>
    <xf numFmtId="164" fontId="11" fillId="26" borderId="6" applyAlignment="1" pivotButton="0" quotePrefix="0" xfId="0">
      <alignment horizontal="center" vertical="center"/>
    </xf>
    <xf numFmtId="0" fontId="5" fillId="0" borderId="6" applyAlignment="1" pivotButton="0" quotePrefix="0" xfId="0">
      <alignment horizontal="left" vertical="top" wrapText="1"/>
    </xf>
    <xf numFmtId="0" fontId="9" fillId="0" borderId="6" applyAlignment="1" pivotButton="0" quotePrefix="0" xfId="0">
      <alignment horizontal="center" vertical="center"/>
    </xf>
    <xf numFmtId="165" fontId="9" fillId="25" borderId="6" applyAlignment="1" pivotButton="0" quotePrefix="0" xfId="0">
      <alignment horizontal="center" vertical="center"/>
    </xf>
    <xf numFmtId="165" fontId="11" fillId="26" borderId="6" applyAlignment="1" pivotButton="0" quotePrefix="0" xfId="0">
      <alignment horizontal="center" vertical="center"/>
    </xf>
    <xf numFmtId="166" fontId="9" fillId="25" borderId="6" applyAlignment="1" pivotButton="0" quotePrefix="0" xfId="0">
      <alignment horizontal="center" vertical="center"/>
    </xf>
    <xf numFmtId="166" fontId="11" fillId="26" borderId="6" applyAlignment="1" pivotButton="0" quotePrefix="0" xfId="0">
      <alignment horizontal="center" vertical="center"/>
    </xf>
    <xf numFmtId="167" fontId="9" fillId="25" borderId="6" applyAlignment="1" pivotButton="0" quotePrefix="0" xfId="0">
      <alignment horizontal="center" vertical="center"/>
    </xf>
    <xf numFmtId="167" fontId="10" fillId="6" borderId="6" applyAlignment="1" pivotButton="0" quotePrefix="0" xfId="0">
      <alignment horizontal="center" vertical="center"/>
    </xf>
    <xf numFmtId="167" fontId="11" fillId="26" borderId="6" applyAlignment="1" pivotButton="0" quotePrefix="0" xfId="0">
      <alignment horizontal="center" vertical="center"/>
    </xf>
    <xf numFmtId="168" fontId="10" fillId="6" borderId="6" applyAlignment="1" pivotButton="0" quotePrefix="0" xfId="0">
      <alignment horizontal="center" vertical="center"/>
    </xf>
    <xf numFmtId="168" fontId="11" fillId="26" borderId="6" applyAlignment="1" pivotButton="0" quotePrefix="0" xfId="0">
      <alignment horizontal="center" vertical="center"/>
    </xf>
    <xf numFmtId="0" fontId="5" fillId="25" borderId="6" applyAlignment="1" pivotButton="0" quotePrefix="0" xfId="0">
      <alignment horizontal="left" vertical="top" wrapText="1"/>
    </xf>
    <xf numFmtId="0" fontId="6" fillId="8" borderId="6" applyAlignment="1" pivotButton="0" quotePrefix="0" xfId="0">
      <alignment horizontal="center" vertical="center"/>
    </xf>
    <xf numFmtId="0" fontId="6" fillId="10" borderId="6" applyAlignment="1" pivotButton="0" quotePrefix="0" xfId="0">
      <alignment horizontal="center" vertical="center"/>
    </xf>
    <xf numFmtId="0" fontId="6" fillId="11" borderId="6" applyAlignment="1" pivotButton="0" quotePrefix="0" xfId="0">
      <alignment horizontal="center" vertical="center"/>
    </xf>
    <xf numFmtId="0" fontId="6" fillId="12" borderId="6" applyAlignment="1" pivotButton="0" quotePrefix="0" xfId="0">
      <alignment horizontal="center" vertical="center"/>
    </xf>
    <xf numFmtId="0" fontId="6" fillId="16" borderId="6" applyAlignment="1" pivotButton="0" quotePrefix="0" xfId="0">
      <alignment horizontal="center" vertical="center"/>
    </xf>
    <xf numFmtId="0" fontId="6" fillId="17" borderId="6" applyAlignment="1" pivotButton="0" quotePrefix="0" xfId="0">
      <alignment horizontal="center" vertical="center"/>
    </xf>
    <xf numFmtId="0" fontId="6" fillId="21" borderId="6" applyAlignment="1" pivotButton="0" quotePrefix="0" xfId="0">
      <alignment horizontal="center" vertical="center"/>
    </xf>
    <xf numFmtId="0" fontId="6" fillId="13" borderId="6" applyAlignment="1" pivotButton="0" quotePrefix="0" xfId="0">
      <alignment horizontal="center" vertical="center"/>
    </xf>
    <xf numFmtId="0" fontId="6" fillId="18" borderId="6" applyAlignment="1" pivotButton="0" quotePrefix="0" xfId="0">
      <alignment horizontal="center" vertical="center"/>
    </xf>
    <xf numFmtId="0" fontId="13" fillId="25" borderId="6" applyAlignment="1" pivotButton="0" quotePrefix="0" xfId="0">
      <alignment horizontal="left" vertical="center"/>
    </xf>
    <xf numFmtId="0" fontId="5" fillId="27" borderId="6" applyAlignment="1" pivotButton="0" quotePrefix="0" xfId="0">
      <alignment horizontal="left" vertical="center"/>
    </xf>
    <xf numFmtId="165" fontId="10" fillId="6" borderId="6" applyAlignment="1" pivotButton="0" quotePrefix="0" xfId="0">
      <alignment horizontal="center" vertical="center"/>
    </xf>
    <xf numFmtId="169" fontId="11" fillId="26" borderId="6" applyAlignment="1" pivotButton="0" quotePrefix="0" xfId="0">
      <alignment horizontal="center" vertical="center"/>
    </xf>
    <xf numFmtId="0" fontId="6" fillId="26" borderId="6" applyAlignment="1" pivotButton="0" quotePrefix="0" xfId="0">
      <alignment horizontal="center" vertical="center"/>
    </xf>
    <xf numFmtId="0" fontId="5" fillId="25" borderId="6" applyAlignment="1" pivotButton="0" quotePrefix="0" xfId="0">
      <alignment horizontal="center" vertical="center"/>
    </xf>
    <xf numFmtId="0" fontId="5" fillId="0" borderId="6" applyAlignment="1" pivotButton="0" quotePrefix="0" xfId="0">
      <alignment horizontal="center" vertical="center"/>
    </xf>
    <xf numFmtId="165" fontId="13" fillId="26" borderId="6" applyAlignment="1" pivotButton="0" quotePrefix="0" xfId="0">
      <alignment horizontal="center" vertical="center"/>
    </xf>
    <xf numFmtId="166" fontId="10" fillId="6" borderId="6" applyAlignment="1" pivotButton="0" quotePrefix="0" xfId="0">
      <alignment horizontal="center" vertical="center"/>
    </xf>
    <xf numFmtId="166" fontId="13" fillId="26" borderId="6" applyAlignment="1" pivotButton="0" quotePrefix="0" xfId="0">
      <alignment horizontal="center" vertical="center"/>
    </xf>
    <xf numFmtId="0" fontId="7" fillId="5" borderId="6" applyAlignment="1" pivotButton="0" quotePrefix="0" xfId="0">
      <alignment horizontal="left" vertical="top" wrapText="1"/>
    </xf>
    <xf numFmtId="0" fontId="11" fillId="26" borderId="6" applyAlignment="1" pivotButton="0" quotePrefix="0" xfId="0">
      <alignment horizontal="center" vertical="center"/>
    </xf>
    <xf numFmtId="0" fontId="2" fillId="27" borderId="6" applyAlignment="1" pivotButton="0" quotePrefix="0" xfId="0">
      <alignment horizontal="left" vertical="top" wrapText="1"/>
    </xf>
    <xf numFmtId="165" fontId="10" fillId="26" borderId="6" applyAlignment="1" pivotButton="0" quotePrefix="0" xfId="0">
      <alignment horizontal="center" vertical="center"/>
    </xf>
    <xf numFmtId="0" fontId="13" fillId="27" borderId="6" applyAlignment="1" pivotButton="0" quotePrefix="0" xfId="0">
      <alignment horizontal="left" vertical="center"/>
    </xf>
    <xf numFmtId="0" fontId="13" fillId="25" borderId="6" applyAlignment="1" pivotButton="0" quotePrefix="0" xfId="0">
      <alignment horizontal="center" vertical="center"/>
    </xf>
    <xf numFmtId="0" fontId="5" fillId="27" borderId="6" applyAlignment="1" pivotButton="0" quotePrefix="0" xfId="0">
      <alignment horizontal="left" vertical="top" wrapText="1"/>
    </xf>
    <xf numFmtId="0" fontId="13" fillId="15" borderId="6" applyAlignment="1" pivotButton="0" quotePrefix="0" xfId="0">
      <alignment horizontal="left" vertical="top" wrapText="1"/>
    </xf>
    <xf numFmtId="0" fontId="6" fillId="5" borderId="6" applyAlignment="1" pivotButton="0" quotePrefix="0" xfId="0">
      <alignment horizontal="center" vertical="center"/>
    </xf>
    <xf numFmtId="0" fontId="6" fillId="27" borderId="6" applyAlignment="1" pivotButton="0" quotePrefix="0" xfId="0">
      <alignment horizontal="center" vertical="center"/>
    </xf>
    <xf numFmtId="0" fontId="7" fillId="13" borderId="6" applyAlignment="1" pivotButton="0" quotePrefix="0" xfId="0">
      <alignment horizontal="left" vertical="center"/>
    </xf>
    <xf numFmtId="0" fontId="13" fillId="9" borderId="6" applyAlignment="1" pivotButton="0" quotePrefix="0" xfId="0">
      <alignment horizontal="left" vertical="center"/>
    </xf>
    <xf numFmtId="164" fontId="13" fillId="26" borderId="6" applyAlignment="1" pivotButton="0" quotePrefix="0" xfId="0">
      <alignment horizontal="center" vertical="center"/>
    </xf>
    <xf numFmtId="0" fontId="13" fillId="27" borderId="6" applyAlignment="1" pivotButton="0" quotePrefix="0" xfId="0">
      <alignment horizontal="left" vertical="top" wrapText="1"/>
    </xf>
    <xf numFmtId="0" fontId="7" fillId="18" borderId="6" applyAlignment="1" pivotButton="0" quotePrefix="0" xfId="0">
      <alignment horizontal="left" vertical="center"/>
    </xf>
    <xf numFmtId="0" fontId="7" fillId="17" borderId="6" applyAlignment="1" pivotButton="0" quotePrefix="0" xfId="0">
      <alignment horizontal="left" vertical="center"/>
    </xf>
    <xf numFmtId="170" fontId="11" fillId="26" borderId="6" applyAlignment="1" pivotButton="0" quotePrefix="0" xfId="0">
      <alignment horizontal="center" vertical="center"/>
    </xf>
    <xf numFmtId="0" fontId="7" fillId="23" borderId="6" applyAlignment="1" pivotButton="0" quotePrefix="0" xfId="0">
      <alignment horizontal="left" vertical="center"/>
    </xf>
    <xf numFmtId="0" fontId="6" fillId="23" borderId="6" applyAlignment="1" pivotButton="0" quotePrefix="0" xfId="0">
      <alignment horizontal="center" vertical="center"/>
    </xf>
    <xf numFmtId="0" fontId="13" fillId="19" borderId="6" applyAlignment="1" pivotButton="0" quotePrefix="0" xfId="0">
      <alignment horizontal="center" vertical="center"/>
    </xf>
    <xf numFmtId="0" fontId="11" fillId="9" borderId="6" applyAlignment="1" pivotButton="0" quotePrefix="0" xfId="0">
      <alignment horizontal="left" vertical="center"/>
    </xf>
    <xf numFmtId="0" fontId="13" fillId="26" borderId="6" applyAlignment="1" pivotButton="0" quotePrefix="0" xfId="0">
      <alignment horizontal="center" vertical="center"/>
    </xf>
    <xf numFmtId="0" fontId="5" fillId="9" borderId="6" applyAlignment="1" pivotButton="0" quotePrefix="0" xfId="0">
      <alignment horizontal="left" vertical="top" wrapText="1"/>
    </xf>
    <xf numFmtId="0" fontId="13" fillId="13" borderId="6" applyAlignment="1" pivotButton="0" quotePrefix="0" xfId="0">
      <alignment horizontal="left" vertical="center"/>
    </xf>
    <xf numFmtId="0" fontId="13" fillId="19" borderId="6" applyAlignment="1" pivotButton="0" quotePrefix="0" xfId="0">
      <alignment horizontal="left" vertical="center"/>
    </xf>
    <xf numFmtId="0" fontId="14" fillId="13" borderId="6" applyAlignment="1" pivotButton="0" quotePrefix="0" xfId="0">
      <alignment horizontal="center" vertical="center"/>
    </xf>
    <xf numFmtId="0" fontId="13" fillId="0" borderId="6" applyAlignment="1" pivotButton="0" quotePrefix="0" xfId="0">
      <alignment horizontal="center" vertical="center"/>
    </xf>
    <xf numFmtId="0" fontId="11" fillId="24" borderId="6" applyAlignment="1" pivotButton="0" quotePrefix="0" xfId="0">
      <alignment horizontal="left" vertical="center"/>
    </xf>
    <xf numFmtId="0" fontId="11" fillId="24" borderId="6" applyAlignment="1" pivotButton="0" quotePrefix="0" xfId="0">
      <alignment horizontal="center" vertical="center"/>
    </xf>
    <xf numFmtId="0" fontId="5" fillId="24" borderId="6" applyAlignment="1" pivotButton="0" quotePrefix="0" xfId="0">
      <alignment horizontal="left" vertical="center"/>
    </xf>
    <xf numFmtId="0" fontId="5" fillId="24" borderId="6" applyAlignment="1" pivotButton="0" quotePrefix="0" xfId="0">
      <alignment horizontal="left" vertical="top" wrapText="1"/>
    </xf>
    <xf numFmtId="0" fontId="11" fillId="0" borderId="6" applyAlignment="1" pivotButton="0" quotePrefix="0" xfId="0">
      <alignment horizontal="left" vertical="center"/>
    </xf>
    <xf numFmtId="0" fontId="5" fillId="0" borderId="6" applyAlignment="1" pivotButton="0" quotePrefix="0" xfId="0">
      <alignment horizontal="left" vertical="center"/>
    </xf>
    <xf numFmtId="0" fontId="11" fillId="19" borderId="6" applyAlignment="1" pivotButton="0" quotePrefix="0" xfId="0">
      <alignment horizontal="left" vertical="center"/>
    </xf>
    <xf numFmtId="0" fontId="11" fillId="19" borderId="6" applyAlignment="1" pivotButton="0" quotePrefix="0" xfId="0">
      <alignment horizontal="center" vertical="center"/>
    </xf>
    <xf numFmtId="0" fontId="5" fillId="19" borderId="6" applyAlignment="1" pivotButton="0" quotePrefix="0" xfId="0">
      <alignment horizontal="left" vertical="center"/>
    </xf>
    <xf numFmtId="0" fontId="5" fillId="19" borderId="6" applyAlignment="1" pivotButton="0" quotePrefix="0" xfId="0">
      <alignment horizontal="left" vertical="top" wrapText="1"/>
    </xf>
    <xf numFmtId="0" fontId="11" fillId="14" borderId="6" applyAlignment="1" pivotButton="0" quotePrefix="0" xfId="0">
      <alignment horizontal="left" vertical="center"/>
    </xf>
    <xf numFmtId="0" fontId="11" fillId="14" borderId="6" applyAlignment="1" pivotButton="0" quotePrefix="0" xfId="0">
      <alignment horizontal="center" vertical="center"/>
    </xf>
    <xf numFmtId="165" fontId="10" fillId="14" borderId="6" applyAlignment="1" pivotButton="0" quotePrefix="0" xfId="0">
      <alignment horizontal="center" vertical="center"/>
    </xf>
    <xf numFmtId="0" fontId="5" fillId="14" borderId="6" applyAlignment="1" pivotButton="0" quotePrefix="0" xfId="0">
      <alignment horizontal="left" vertical="center"/>
    </xf>
    <xf numFmtId="0" fontId="5" fillId="14" borderId="6" applyAlignment="1" pivotButton="0" quotePrefix="0" xfId="0">
      <alignment horizontal="left" vertical="top" wrapText="1"/>
    </xf>
    <xf numFmtId="164" fontId="10" fillId="14" borderId="6" applyAlignment="1" pivotButton="0" quotePrefix="0" xfId="0">
      <alignment horizontal="center" vertical="center"/>
    </xf>
    <xf numFmtId="166" fontId="10" fillId="14" borderId="6" applyAlignment="1" pivotButton="0" quotePrefix="0" xfId="0">
      <alignment horizontal="center" vertical="center"/>
    </xf>
    <xf numFmtId="0" fontId="0" fillId="0" borderId="9" pivotButton="0" quotePrefix="0" xfId="0"/>
    <xf numFmtId="0" fontId="0" fillId="0" borderId="10" pivotButton="0" quotePrefix="0" xfId="0"/>
    <xf numFmtId="0" fontId="17" fillId="0" borderId="0" pivotButton="0" quotePrefix="0" xfId="0"/>
    <xf numFmtId="0" fontId="16" fillId="0" borderId="0" pivotButton="0" quotePrefix="0" xfId="0"/>
  </cellXfs>
  <cellStyles count="1">
    <cellStyle name="Normal" xfId="0" builtinId="0" hidden="0"/>
  </cellStyles>
  <dxfs count="2">
    <dxf>
      <fill>
        <patternFill patternType="solid">
          <fgColor rgb="00C6EFCE"/>
        </patternFill>
      </fill>
    </dxf>
    <dxf>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ables/table1.xml><?xml version="1.0" encoding="utf-8"?>
<table xmlns="http://schemas.openxmlformats.org/spreadsheetml/2006/main" id="1" name="OutputFlatTable" displayName="OutputFlatTable" ref="A10:G806" headerRowCount="1">
  <autoFilter ref="A10:G806"/>
  <tableColumns count="7">
    <tableColumn id="1" name="period"/>
    <tableColumn id="2" name="vintage"/>
    <tableColumn id="3" name="scenario"/>
    <tableColumn id="4" name="metric"/>
    <tableColumn id="5" name="value"/>
    <tableColumn id="6" name="source_cell"/>
    <tableColumn id="7" name="notes"/>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A38"/>
  <sheetViews>
    <sheetView showGridLines="1" workbookViewId="0">
      <pane ySplit="1" topLeftCell="A2" activePane="bottomLeft" state="frozen"/>
      <selection pane="bottomLeft" activeCell="A1" sqref="A1"/>
    </sheetView>
  </sheetViews>
  <sheetFormatPr baseColWidth="8" defaultRowHeight="15"/>
  <cols>
    <col width="130" customWidth="1" min="1" max="1"/>
  </cols>
  <sheetData>
    <row r="1">
      <c r="A1" s="220" t="inlineStr">
        <is>
          <t>README</t>
        </is>
      </c>
    </row>
    <row r="2">
      <c r="A2" s="221" t="inlineStr">
        <is>
          <t>Prepared by: Mengru Shi | Status: Portfolio case study | Last updated: August 2026</t>
        </is>
      </c>
    </row>
    <row r="3">
      <c r="A3" s="221" t="inlineStr">
        <is>
          <t>Independent case study using public information. Not an internal Apple document.</t>
        </is>
      </c>
    </row>
    <row r="4">
      <c r="A4" s="221" t="n"/>
    </row>
    <row r="5">
      <c r="A5" s="220" t="inlineStr">
        <is>
          <t>Purpose</t>
        </is>
      </c>
    </row>
    <row r="6">
      <c r="A6" s="221" t="inlineStr">
        <is>
          <t>Driver-based forecast model for a public-company FP&amp;A case study. The workbook supports variance review, reforecasting, bridge analysis, sensitivity testing, and planning recommendations.</t>
        </is>
      </c>
    </row>
    <row r="7">
      <c r="A7" s="221" t="n"/>
    </row>
    <row r="8">
      <c r="A8" s="220" t="inlineStr">
        <is>
          <t>Assumptions</t>
        </is>
      </c>
    </row>
    <row r="9">
      <c r="A9" s="221" t="inlineStr">
        <is>
          <t>Forecasts are reconstructed from public data and explicit driver assumptions. Scenario outputs are model estimates.</t>
        </is>
      </c>
    </row>
    <row r="10">
      <c r="A10" s="221" t="inlineStr">
        <is>
          <t>Public data does not include internal shipment, pricing, treasury, regional, installed-base, or management inputs.</t>
        </is>
      </c>
    </row>
    <row r="11">
      <c r="A11" s="221" t="n"/>
    </row>
    <row r="12">
      <c r="A12" s="220" t="inlineStr">
        <is>
          <t>How to Navigate</t>
        </is>
      </c>
    </row>
    <row r="13">
      <c r="A13" s="221" t="inlineStr">
        <is>
          <t>Start with Read Me, then review Drivers for assumptions, IS/BS/CF for forecast mechanics, Forecast Bridge for variance logic, Sensitivity for cases, and Output for dashboard source tables.</t>
        </is>
      </c>
    </row>
    <row r="14">
      <c r="A14" s="221" t="n"/>
    </row>
    <row r="15">
      <c r="A15" s="220" t="inlineStr">
        <is>
          <t>Model Structure</t>
        </is>
      </c>
    </row>
    <row r="16">
      <c r="A16" s="221" t="inlineStr">
        <is>
          <t>History -&gt; source public financial data and historical actuals.</t>
        </is>
      </c>
    </row>
    <row r="17">
      <c r="A17" s="221" t="inlineStr">
        <is>
          <t>Drivers -&gt; scenario assumptions and planning inputs.</t>
        </is>
      </c>
    </row>
    <row r="18">
      <c r="A18" s="221" t="inlineStr">
        <is>
          <t>Forecast -&gt; IS, BS, and CF forecast mechanics.</t>
        </is>
      </c>
    </row>
    <row r="19">
      <c r="A19" s="221" t="inlineStr">
        <is>
          <t>Bridge -&gt; forecast-vintage and driver-attribution bridge.</t>
        </is>
      </c>
    </row>
    <row r="20">
      <c r="A20" s="221" t="inlineStr">
        <is>
          <t>Sensitivity -&gt; Base/Bull/Bear and selected planning cases.</t>
        </is>
      </c>
    </row>
    <row r="21">
      <c r="A21" s="221" t="inlineStr">
        <is>
          <t>Output -&gt; dashboard-ready source table.</t>
        </is>
      </c>
    </row>
    <row r="22">
      <c r="A22" s="221" t="n"/>
    </row>
    <row r="23">
      <c r="A23" s="220" t="inlineStr">
        <is>
          <t>Known Limitations</t>
        </is>
      </c>
    </row>
    <row r="24">
      <c r="A24" s="221" t="inlineStr">
        <is>
          <t>Quarterly segment actuals are implied from forecast and variance rows, not directly reported actuals.</t>
        </is>
      </c>
    </row>
    <row r="25">
      <c r="A25" s="221" t="inlineStr">
        <is>
          <t>Working-capital days are directional because DSO/DIO/DPO are not seasonalized by fiscal quarter.</t>
        </is>
      </c>
    </row>
    <row r="26">
      <c r="A26" s="221" t="inlineStr">
        <is>
          <t>Driver attribution is proportional and should be treated as estimated, not measured causal attribution.</t>
        </is>
      </c>
    </row>
    <row r="27">
      <c r="A27" s="221" t="n"/>
    </row>
    <row r="28">
      <c r="A28" s="220" t="inlineStr">
        <is>
          <t>Future Improvements</t>
        </is>
      </c>
    </row>
    <row r="29">
      <c r="A29" s="221" t="inlineStr">
        <is>
          <t>Add regional forecast by major geography.</t>
        </is>
      </c>
    </row>
    <row r="30">
      <c r="A30" s="221" t="inlineStr">
        <is>
          <t>Add installed-base, premium feature adoption, and subscription attachment model.</t>
        </is>
      </c>
    </row>
    <row r="31">
      <c r="A31" s="221" t="inlineStr">
        <is>
          <t>Improve working-capital seasonality by fiscal quarter.</t>
        </is>
      </c>
    </row>
    <row r="32">
      <c r="A32" s="221" t="inlineStr">
        <is>
          <t>Add driver-level forecast error by units, ASP, subscription attachment, FX, and mix.</t>
        </is>
      </c>
    </row>
    <row r="33">
      <c r="A33" s="221" t="n"/>
    </row>
    <row r="34">
      <c r="A34" s="220" t="inlineStr">
        <is>
          <t>Version History</t>
        </is>
      </c>
    </row>
    <row r="35">
      <c r="A35" s="221" t="inlineStr">
        <is>
          <t>August 2026 portfolio case study revised for plain corporate finance language, restrained visual design, and recruiter-facing scope.</t>
        </is>
      </c>
    </row>
    <row r="36">
      <c r="A36" s="221" t="n"/>
    </row>
    <row r="37">
      <c r="A37" s="220" t="inlineStr">
        <is>
          <t>Open Items</t>
        </is>
      </c>
    </row>
    <row r="38">
      <c r="A38" s="221" t="inlineStr">
        <is>
          <t>Review Q3 results before changing the Base case. Validate AI investment and subscription attachment assumptions with later public disclosures.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2"/>
  <sheetViews>
    <sheetView showGridLines="1" workbookViewId="0">
      <pane ySplit="8" topLeftCell="A9" activePane="bottomLeft" state="frozen"/>
      <selection pane="bottomLeft" activeCell="A1" sqref="A1"/>
    </sheetView>
  </sheetViews>
  <sheetFormatPr baseColWidth="8" defaultRowHeight="15"/>
  <cols>
    <col width="40" customWidth="1" min="1" max="1"/>
    <col width="12" customWidth="1" min="2" max="2"/>
    <col width="16" customWidth="1" min="3" max="3"/>
    <col width="11" customWidth="1" min="4" max="4"/>
    <col width="11" customWidth="1" min="5" max="5"/>
    <col width="11" customWidth="1" min="6" max="6"/>
    <col width="13" customWidth="1" min="7" max="7"/>
    <col width="70" customWidth="1" min="8" max="8"/>
  </cols>
  <sheetData>
    <row r="1" ht="22" customHeight="1">
      <c r="A1" s="126" t="inlineStr">
        <is>
          <t>Apple Inc. -- Driver-Based Rolling Forecast Model: DRIVERS</t>
        </is>
      </c>
      <c r="B1" s="218" t="n"/>
      <c r="C1" s="218" t="n"/>
      <c r="D1" s="218" t="n"/>
      <c r="E1" s="218" t="n"/>
      <c r="F1" s="218" t="n"/>
      <c r="G1" s="218" t="n"/>
      <c r="H1" s="219" t="n"/>
    </row>
    <row r="2" ht="15" customHeight="1">
      <c r="A2" s="133" t="inlineStr">
        <is>
          <t>All Base/Bull/Bear inputs are annual run-rate assumptions used by every downstream IS/BS/CF/Bridge/Sensitivity tab in this workbook (Tasks 12-20).</t>
        </is>
      </c>
      <c r="B2" s="218" t="n"/>
      <c r="C2" s="218" t="n"/>
      <c r="D2" s="218" t="n"/>
      <c r="E2" s="218" t="n"/>
      <c r="F2" s="218" t="n"/>
      <c r="G2" s="218" t="n"/>
      <c r="H2" s="219" t="n"/>
    </row>
    <row r="3" ht="15" customHeight="1">
      <c r="A3" s="133" t="inlineStr">
        <is>
          <t>Downstream formulas must reference the ACTIVE column (never Base/Bull/Bear directly) so the entire model recalculates from the single Scenario switch below.</t>
        </is>
      </c>
      <c r="B3" s="218" t="n"/>
      <c r="C3" s="218" t="n"/>
      <c r="D3" s="218" t="n"/>
      <c r="E3" s="218" t="n"/>
      <c r="F3" s="218" t="n"/>
      <c r="G3" s="218" t="n"/>
      <c r="H3" s="219" t="n"/>
    </row>
    <row r="4" ht="15" customHeight="1">
      <c r="A4" s="133" t="inlineStr">
        <is>
          <t>Historical Reference values are sourced from '02 Historical Financial Database.xlsx' (Annual / Segment Detail tabs) and, where Apple does not disclose a figure (all unit/ASP volumes since FY2018, FX/Mix bridge points, installed base outside two earnings-call data points), from the implied-estimate method documented in data/business_memo_source_notes.md's Revenue Driver Tree section. Every such implied/estimated figure is labeled in the Source/Notes column.</t>
        </is>
      </c>
      <c r="B4" s="218" t="n"/>
      <c r="C4" s="218" t="n"/>
      <c r="D4" s="218" t="n"/>
      <c r="E4" s="218" t="n"/>
      <c r="F4" s="218" t="n"/>
      <c r="G4" s="218" t="n"/>
      <c r="H4" s="219" t="n"/>
    </row>
    <row r="5">
      <c r="A5" s="129" t="n"/>
      <c r="B5" s="129" t="n"/>
      <c r="C5" s="129" t="n"/>
      <c r="D5" s="129" t="n"/>
      <c r="E5" s="129" t="n"/>
      <c r="F5" s="129" t="n"/>
      <c r="G5" s="129" t="n"/>
      <c r="H5" s="129" t="n"/>
    </row>
    <row r="6">
      <c r="A6" s="134" t="inlineStr">
        <is>
          <t>SCENARIO SWITCH (drives every Active column below):</t>
        </is>
      </c>
      <c r="B6" s="135" t="inlineStr">
        <is>
          <t>Base</t>
        </is>
      </c>
      <c r="C6" s="136" t="inlineStr">
        <is>
          <t>&lt;- choose Base / Bull / Bear here (data-validation dropdown)</t>
        </is>
      </c>
      <c r="D6" s="218" t="n"/>
      <c r="E6" s="218" t="n"/>
      <c r="F6" s="218" t="n"/>
      <c r="G6" s="218" t="n"/>
      <c r="H6" s="219" t="n"/>
    </row>
    <row r="7">
      <c r="A7" s="129" t="n"/>
      <c r="B7" s="129" t="n"/>
      <c r="C7" s="129" t="n"/>
      <c r="D7" s="129" t="n"/>
      <c r="E7" s="129" t="n"/>
      <c r="F7" s="129" t="n"/>
      <c r="G7" s="129" t="n"/>
      <c r="H7" s="129" t="n"/>
    </row>
    <row r="8" ht="18" customHeight="1">
      <c r="A8" s="137" t="inlineStr">
        <is>
          <t>Driver</t>
        </is>
      </c>
      <c r="B8" s="137" t="inlineStr">
        <is>
          <t>Unit</t>
        </is>
      </c>
      <c r="C8" s="137" t="inlineStr">
        <is>
          <t>Historical Reference</t>
        </is>
      </c>
      <c r="D8" s="137" t="inlineStr">
        <is>
          <t>Base</t>
        </is>
      </c>
      <c r="E8" s="137" t="inlineStr">
        <is>
          <t>Bull</t>
        </is>
      </c>
      <c r="F8" s="137" t="inlineStr">
        <is>
          <t>Bear</t>
        </is>
      </c>
      <c r="G8" s="137" t="inlineStr">
        <is>
          <t>Active</t>
        </is>
      </c>
      <c r="H8" s="137" t="inlineStr">
        <is>
          <t>Source / Notes</t>
        </is>
      </c>
    </row>
    <row r="9" ht="16" customHeight="1">
      <c r="A9" s="138" t="inlineStr">
        <is>
          <t>SEGMENT REVENUE DRIVERS -- UNITS x ASP  (iPhone / Mac / iPad / Wearables)</t>
        </is>
      </c>
      <c r="B9" s="218" t="n"/>
      <c r="C9" s="218" t="n"/>
      <c r="D9" s="218" t="n"/>
      <c r="E9" s="218" t="n"/>
      <c r="F9" s="218" t="n"/>
      <c r="G9" s="218" t="n"/>
      <c r="H9" s="219" t="n"/>
    </row>
    <row r="10" ht="30" customHeight="1">
      <c r="A10" s="127" t="inlineStr">
        <is>
          <t>iPhone -- Units Growth %</t>
        </is>
      </c>
      <c r="B10" s="139" t="inlineStr">
        <is>
          <t>%</t>
        </is>
      </c>
      <c r="C10" s="140" t="n">
        <v>0.042</v>
      </c>
      <c r="D10" s="141" t="n">
        <v>0.015</v>
      </c>
      <c r="E10" s="141" t="n">
        <v>0.035</v>
      </c>
      <c r="F10" s="141" t="n">
        <v>-0.01</v>
      </c>
      <c r="G10" s="142">
        <f>INDEX(D10:F10,MATCH($B$6,$D$8:$F$8,0))</f>
        <v>0.015</v>
      </c>
      <c r="H10" s="143" t="inlineStr">
        <is>
          <t>FY2025 real revenue growth +4.2% (10-K, sourced). Base/Bull/Bear units growth is this agent's judgmental decomposition of revenue growth into units vs. ASP components (row below), reflecting IDC/Counterpoint commentary of roughly flat-to-low-single-digit iPhone unit shipments with revenue growth driven more by Pro/Pro Max mix-shift (ASP) than volume. Labeled as an implied estimate per the FY2018 unit-disclosure caveat.</t>
        </is>
      </c>
    </row>
    <row r="11" ht="30" customHeight="1">
      <c r="A11" s="127" t="inlineStr">
        <is>
          <t>iPhone -- ASP YoY Change %</t>
        </is>
      </c>
      <c r="B11" s="139" t="inlineStr">
        <is>
          <t>%</t>
        </is>
      </c>
      <c r="C11" s="144" t="n"/>
      <c r="D11" s="141" t="n">
        <v>0.02</v>
      </c>
      <c r="E11" s="141" t="n">
        <v>0.03</v>
      </c>
      <c r="F11" s="141" t="n">
        <v>0.005</v>
      </c>
      <c r="G11" s="142">
        <f>INDEX(D11:F11,MATCH($B$6,$D$8:$F$8,0))</f>
        <v>0.02</v>
      </c>
      <c r="H11" s="143" t="inlineStr">
        <is>
          <t>Judgmental split of the segment's historical revenue growth into a units component (row above) and an ASP/mix component (this row); see Source/Notes method note.</t>
        </is>
      </c>
    </row>
    <row r="12" ht="30" customHeight="1">
      <c r="A12" s="127" t="inlineStr">
        <is>
          <t>iPhone -- ASP $ (implied)</t>
        </is>
      </c>
      <c r="B12" s="139" t="inlineStr">
        <is>
          <t>$/unit</t>
        </is>
      </c>
      <c r="C12" s="145" t="n">
        <v>900</v>
      </c>
      <c r="D12" s="146">
        <f>$C12*(1+D11)</f>
        <v>918</v>
      </c>
      <c r="E12" s="146">
        <f>$C12*(1+E11)</f>
        <v>927</v>
      </c>
      <c r="F12" s="146">
        <f>$C12*(1+F11)</f>
        <v>904.5</v>
      </c>
      <c r="G12" s="146">
        <f>INDEX(D12:F12,MATCH($B$6,$D$8:$F$8,0))</f>
        <v>918</v>
      </c>
      <c r="H12" s="143" t="inlineStr">
        <is>
          <t>Implied ASP anchor $900 = midpoint of Business Memo's iPhone ASP benchmark range ($850-950, IDC/Counterpoint-style estimate; Apple has not disclosed iPhone unit shipments since FY2018 -- see Revenue Driver Tree Step 1 caveat). Implied FY2025 units at this anchor = $209,586M / $900 = ~232.9M units (estimate, not disclosed).</t>
        </is>
      </c>
    </row>
    <row r="13" ht="30" customHeight="1">
      <c r="A13" s="127" t="inlineStr">
        <is>
          <t>Mac -- Units Growth %</t>
        </is>
      </c>
      <c r="B13" s="139" t="inlineStr">
        <is>
          <t>%</t>
        </is>
      </c>
      <c r="C13" s="140" t="n">
        <v>0.124</v>
      </c>
      <c r="D13" s="141" t="n">
        <v>0.04</v>
      </c>
      <c r="E13" s="141" t="n">
        <v>0.07000000000000001</v>
      </c>
      <c r="F13" s="141" t="n">
        <v>0</v>
      </c>
      <c r="G13" s="142">
        <f>INDEX(D13:F13,MATCH($B$6,$D$8:$F$8,0))</f>
        <v>0.04</v>
      </c>
      <c r="H13" s="143" t="inlineStr">
        <is>
          <t>FY2025 real revenue growth +12.4% (10-K, sourced; M4 chip refresh cycle), but 5-yr history is highly volatile (+14.2%/-26.9%/+2.1%/+12.4%). Base moderates toward a normalized post-refresh growth rate rather than extrapolating the FY2025 spike, per task guidance. Units/ASP split is this agent's judgmental estimate, not disclosed.</t>
        </is>
      </c>
    </row>
    <row r="14" ht="30" customHeight="1">
      <c r="A14" s="127" t="inlineStr">
        <is>
          <t>Mac -- ASP YoY Change %</t>
        </is>
      </c>
      <c r="B14" s="139" t="inlineStr">
        <is>
          <t>%</t>
        </is>
      </c>
      <c r="C14" s="144" t="n"/>
      <c r="D14" s="141" t="n">
        <v>0.02</v>
      </c>
      <c r="E14" s="141" t="n">
        <v>0.03</v>
      </c>
      <c r="F14" s="141" t="n">
        <v>0</v>
      </c>
      <c r="G14" s="142">
        <f>INDEX(D14:F14,MATCH($B$6,$D$8:$F$8,0))</f>
        <v>0.02</v>
      </c>
      <c r="H14" s="143" t="inlineStr">
        <is>
          <t>Judgmental split of the segment's historical revenue growth into a units component (row above) and an ASP/mix component (this row); see Source/Notes method note.</t>
        </is>
      </c>
    </row>
    <row r="15" ht="30" customHeight="1">
      <c r="A15" s="127" t="inlineStr">
        <is>
          <t>Mac -- ASP $ (implied)</t>
        </is>
      </c>
      <c r="B15" s="139" t="inlineStr">
        <is>
          <t>$/unit</t>
        </is>
      </c>
      <c r="C15" s="145" t="n">
        <v>1400</v>
      </c>
      <c r="D15" s="146">
        <f>$C15*(1+D14)</f>
        <v>1428</v>
      </c>
      <c r="E15" s="146">
        <f>$C15*(1+E14)</f>
        <v>1442</v>
      </c>
      <c r="F15" s="146">
        <f>$C15*(1+F14)</f>
        <v>1400</v>
      </c>
      <c r="G15" s="146">
        <f>INDEX(D15:F15,MATCH($B$6,$D$8:$F$8,0))</f>
        <v>1428</v>
      </c>
      <c r="H15" s="143" t="inlineStr">
        <is>
          <t>Implied ASP anchor $1,400 -- market-research-style MacBook ASP benchmark (Apple does not disclose Mac unit shipments; estimate, analogous method to iPhone). Implied FY2025 units = $33,708M / $1,400 = ~24.1M units (estimate).</t>
        </is>
      </c>
    </row>
    <row r="16" ht="30" customHeight="1">
      <c r="A16" s="127" t="inlineStr">
        <is>
          <t>iPad -- Units Growth %</t>
        </is>
      </c>
      <c r="B16" s="139" t="inlineStr">
        <is>
          <t>%</t>
        </is>
      </c>
      <c r="C16" s="140" t="n">
        <v>0.05</v>
      </c>
      <c r="D16" s="141" t="n">
        <v>0.01</v>
      </c>
      <c r="E16" s="141" t="n">
        <v>0.04</v>
      </c>
      <c r="F16" s="141" t="n">
        <v>-0.04</v>
      </c>
      <c r="G16" s="142">
        <f>INDEX(D16:F16,MATCH($B$6,$D$8:$F$8,0))</f>
        <v>0.01</v>
      </c>
      <c r="H16" s="143" t="inlineStr">
        <is>
          <t>FY2025 revenue +5.0% (10-K, sourced) followed 3 consecutive down years (-8.1%/-3.4%/-5.7% FY22-24) -- weakest segment historically. Base case is cautious (does not extrapolate the FY2025 rebound); Bear resumes the multi-year decline pattern. Units/ASP split is judgmental, not disclosed.</t>
        </is>
      </c>
    </row>
    <row r="17" ht="30" customHeight="1">
      <c r="A17" s="127" t="inlineStr">
        <is>
          <t>iPad -- ASP YoY Change %</t>
        </is>
      </c>
      <c r="B17" s="139" t="inlineStr">
        <is>
          <t>%</t>
        </is>
      </c>
      <c r="C17" s="144" t="n"/>
      <c r="D17" s="141" t="n">
        <v>0.015</v>
      </c>
      <c r="E17" s="141" t="n">
        <v>0.02</v>
      </c>
      <c r="F17" s="141" t="n">
        <v>0</v>
      </c>
      <c r="G17" s="142">
        <f>INDEX(D17:F17,MATCH($B$6,$D$8:$F$8,0))</f>
        <v>0.015</v>
      </c>
      <c r="H17" s="143" t="inlineStr">
        <is>
          <t>Judgmental split of the segment's historical revenue growth into a units component (row above) and an ASP/mix component (this row); see Source/Notes method note.</t>
        </is>
      </c>
    </row>
    <row r="18" ht="30" customHeight="1">
      <c r="A18" s="127" t="inlineStr">
        <is>
          <t>iPad -- ASP $ (implied)</t>
        </is>
      </c>
      <c r="B18" s="139" t="inlineStr">
        <is>
          <t>$/unit</t>
        </is>
      </c>
      <c r="C18" s="145" t="n">
        <v>475</v>
      </c>
      <c r="D18" s="146">
        <f>$C18*(1+D17)</f>
        <v>482.125</v>
      </c>
      <c r="E18" s="146">
        <f>$C18*(1+E17)</f>
        <v>484.5</v>
      </c>
      <c r="F18" s="146">
        <f>$C18*(1+F17)</f>
        <v>475</v>
      </c>
      <c r="G18" s="146">
        <f>INDEX(D18:F18,MATCH($B$6,$D$8:$F$8,0))</f>
        <v>482.125</v>
      </c>
      <c r="H18" s="143" t="inlineStr">
        <is>
          <t>Implied ASP anchor $475 -- market-research-style iPad ASP benchmark (Apple does not disclose iPad unit shipments; estimate). Implied FY2025 units = $28,023M / $475 = ~59.0M units (estimate).</t>
        </is>
      </c>
    </row>
    <row r="19" ht="30" customHeight="1">
      <c r="A19" s="127" t="inlineStr">
        <is>
          <t>Wearables, Home and Accessories -- Units Growth %</t>
        </is>
      </c>
      <c r="B19" s="139" t="inlineStr">
        <is>
          <t>%</t>
        </is>
      </c>
      <c r="C19" s="140" t="n">
        <v>-0.036</v>
      </c>
      <c r="D19" s="141" t="n">
        <v>-0.01</v>
      </c>
      <c r="E19" s="141" t="n">
        <v>0.03</v>
      </c>
      <c r="F19" s="141" t="n">
        <v>-0.05</v>
      </c>
      <c r="G19" s="142">
        <f>INDEX(D19:F19,MATCH($B$6,$D$8:$F$8,0))</f>
        <v>-0.01</v>
      </c>
      <c r="H19" s="143" t="inlineStr">
        <is>
          <t>Revenue declined 3 straight years (FY23 -3.4%, FY24 -7.1%, FY25 -3.6%) after FY22's +7.5%. Base assumes stabilization (near-flat blended growth); Bear continues the observed decline trend. Units/ASP split is judgmental, not disclosed.</t>
        </is>
      </c>
    </row>
    <row r="20" ht="30" customHeight="1">
      <c r="A20" s="127" t="inlineStr">
        <is>
          <t>Wearables, Home and Accessories -- ASP YoY Change %</t>
        </is>
      </c>
      <c r="B20" s="139" t="inlineStr">
        <is>
          <t>%</t>
        </is>
      </c>
      <c r="C20" s="144" t="n"/>
      <c r="D20" s="141" t="n">
        <v>0.01</v>
      </c>
      <c r="E20" s="141" t="n">
        <v>0.02</v>
      </c>
      <c r="F20" s="141" t="n">
        <v>0</v>
      </c>
      <c r="G20" s="142">
        <f>INDEX(D20:F20,MATCH($B$6,$D$8:$F$8,0))</f>
        <v>0.01</v>
      </c>
      <c r="H20" s="143" t="inlineStr">
        <is>
          <t>Judgmental split of the segment's historical revenue growth into a units component (row above) and an ASP/mix component (this row); see Source/Notes method note.</t>
        </is>
      </c>
    </row>
    <row r="21" ht="30" customHeight="1">
      <c r="A21" s="127" t="inlineStr">
        <is>
          <t>Wearables, Home and Accessories -- ASP $ (implied)</t>
        </is>
      </c>
      <c r="B21" s="139" t="inlineStr">
        <is>
          <t>$/unit</t>
        </is>
      </c>
      <c r="C21" s="145" t="n">
        <v>165</v>
      </c>
      <c r="D21" s="146">
        <f>$C21*(1+D20)</f>
        <v>166.65</v>
      </c>
      <c r="E21" s="146">
        <f>$C21*(1+E20)</f>
        <v>168.3</v>
      </c>
      <c r="F21" s="146">
        <f>$C21*(1+F20)</f>
        <v>165</v>
      </c>
      <c r="G21" s="146">
        <f>INDEX(D21:F21,MATCH($B$6,$D$8:$F$8,0))</f>
        <v>166.65</v>
      </c>
      <c r="H21" s="143" t="inlineStr">
        <is>
          <t>Implied ASP anchor $165 -- market-research-style blended ASP across AirPods/Watch/Accessories (Apple does not disclose unit shipments; estimate). Implied FY2025 units = $35,686M / $165 = ~216.3M units (estimate).</t>
        </is>
      </c>
    </row>
    <row r="22">
      <c r="A22" s="129" t="n"/>
      <c r="B22" s="129" t="n"/>
      <c r="C22" s="129" t="n"/>
      <c r="D22" s="129" t="n"/>
      <c r="E22" s="129" t="n"/>
      <c r="F22" s="129" t="n"/>
      <c r="G22" s="129" t="n"/>
      <c r="H22" s="129" t="n"/>
    </row>
    <row r="23" ht="16" customHeight="1">
      <c r="A23" s="138" t="inlineStr">
        <is>
          <t>SERVICES DRIVERS -- INSTALLED BASE x ARPU</t>
        </is>
      </c>
      <c r="B23" s="218" t="n"/>
      <c r="C23" s="218" t="n"/>
      <c r="D23" s="218" t="n"/>
      <c r="E23" s="218" t="n"/>
      <c r="F23" s="218" t="n"/>
      <c r="G23" s="218" t="n"/>
      <c r="H23" s="219" t="n"/>
    </row>
    <row r="24" ht="30" customHeight="1">
      <c r="A24" s="127" t="inlineStr">
        <is>
          <t>Services -- Installed Base Growth %</t>
        </is>
      </c>
      <c r="B24" s="139" t="inlineStr">
        <is>
          <t>%</t>
        </is>
      </c>
      <c r="C24" s="140" t="n">
        <v>0.08169999999999999</v>
      </c>
      <c r="D24" s="141" t="n">
        <v>0.075</v>
      </c>
      <c r="E24" s="141" t="n">
        <v>0.09</v>
      </c>
      <c r="F24" s="141" t="n">
        <v>0.06</v>
      </c>
      <c r="G24" s="142">
        <f>INDEX(D24:F24,MATCH($B$6,$D$8:$F$8,0))</f>
        <v>0.075</v>
      </c>
      <c r="H24" s="143" t="inlineStr">
        <is>
          <t>Historical Reference 8.17% = CAGR implied by Apple management's two public disclosures: &gt;2.0B active devices (Jan 2023 earnings call) to &gt;2.35B active devices (Jan 2025 earnings call) -- (2.35/2.00)^(1/2)-1. Not a 10-K disclosure (10-K contains no installed-base figure at all, per Business Memo notes); sourced from Apple management's public earnings-call commentary, per the Installed Base section's recommendation.</t>
        </is>
      </c>
    </row>
    <row r="25" ht="30" customHeight="1">
      <c r="A25" s="127" t="inlineStr">
        <is>
          <t>Services -- ARPU YoY Change %</t>
        </is>
      </c>
      <c r="B25" s="139" t="inlineStr">
        <is>
          <t>%</t>
        </is>
      </c>
      <c r="C25" s="144" t="n"/>
      <c r="D25" s="141" t="n">
        <v>0.05</v>
      </c>
      <c r="E25" s="141" t="n">
        <v>0.07000000000000001</v>
      </c>
      <c r="F25" s="141" t="n">
        <v>0.03</v>
      </c>
      <c r="G25" s="142">
        <f>INDEX(D25:F25,MATCH($B$6,$D$8:$F$8,0))</f>
        <v>0.05</v>
      </c>
      <c r="H25" s="143" t="inlineStr">
        <is>
          <t>Implied historical ARPU growth ~4-6%/yr, derived from Services revenue growth (14.2%/9.1%/12.9%/13.5% FY22-25, 10-K sourced) less installed-base growth (row above). ARPU itself is not an Apple-disclosed metric -- it is computed as Services Revenue / Installed Base, both components estimated/sourced as noted.</t>
        </is>
      </c>
    </row>
    <row r="26" ht="30" customHeight="1">
      <c r="A26" s="127" t="inlineStr">
        <is>
          <t>Services -- ARPU $ (implied, annual)</t>
        </is>
      </c>
      <c r="B26" s="139" t="inlineStr">
        <is>
          <t>$/device/yr</t>
        </is>
      </c>
      <c r="C26" s="147" t="n">
        <v>46.45</v>
      </c>
      <c r="D26" s="148">
        <f>$C26*(1+D25)</f>
        <v>48.7725</v>
      </c>
      <c r="E26" s="148">
        <f>$C26*(1+E25)</f>
        <v>49.7015</v>
      </c>
      <c r="F26" s="148">
        <f>$C26*(1+F25)</f>
        <v>47.8435</v>
      </c>
      <c r="G26" s="148">
        <f>INDEX(D26:F26,MATCH($B$6,$D$8:$F$8,0))</f>
        <v>48.7725</v>
      </c>
      <c r="H26" s="143" t="inlineStr">
        <is>
          <t>Historical Reference $46.45 = FY2025 Services net sales $109,158M / 2.35B installed base (both sourced per notes above). Implied estimate, not an Apple-disclosed figure.</t>
        </is>
      </c>
    </row>
    <row r="27">
      <c r="A27" s="129" t="n"/>
      <c r="B27" s="129" t="n"/>
      <c r="C27" s="129" t="n"/>
      <c r="D27" s="129" t="n"/>
      <c r="E27" s="129" t="n"/>
      <c r="F27" s="129" t="n"/>
      <c r="G27" s="129" t="n"/>
      <c r="H27" s="129" t="n"/>
    </row>
    <row r="28" ht="16" customHeight="1">
      <c r="A28" s="138" t="inlineStr">
        <is>
          <t>OVERLAY ADJUSTMENTS -- FX &amp; MIX (applied on top of Units x ASP / Installed Base x ARPU, per Revenue Driver Tree Step 3)</t>
        </is>
      </c>
      <c r="B28" s="218" t="n"/>
      <c r="C28" s="218" t="n"/>
      <c r="D28" s="218" t="n"/>
      <c r="E28" s="218" t="n"/>
      <c r="F28" s="218" t="n"/>
      <c r="G28" s="218" t="n"/>
      <c r="H28" s="219" t="n"/>
    </row>
    <row r="29" ht="30" customHeight="1">
      <c r="A29" s="127" t="inlineStr">
        <is>
          <t>FX Impact on Revenue %</t>
        </is>
      </c>
      <c r="B29" s="139" t="inlineStr">
        <is>
          <t>%</t>
        </is>
      </c>
      <c r="C29" s="144" t="n"/>
      <c r="D29" s="141" t="n">
        <v>0</v>
      </c>
      <c r="E29" s="141" t="n">
        <v>0.01</v>
      </c>
      <c r="F29" s="141" t="n">
        <v>-0.015</v>
      </c>
      <c r="G29" s="142">
        <f>INDEX(D29:F29,MATCH($B$6,$D$8:$F$8,0))</f>
        <v>0</v>
      </c>
      <c r="H29" s="143" t="inlineStr">
        <is>
          <t>No FX revenue bridge is disclosed in the FY2023-FY2025 10-Ks captured in the Historical Database / source notes (the MD&amp;A tables extracted do not quantify an FX point-impact). Base case is therefore set to a neutral 0% (no assumed FX tailwind/headwind). Bull/Bear illustrate a directionally typical swing for a USD-weakens / USD-strengthens scenario and are explicitly labeled as this agent's assumption, not a sourced figure.</t>
        </is>
      </c>
    </row>
    <row r="30" ht="30" customHeight="1">
      <c r="A30" s="127" t="inlineStr">
        <is>
          <t>Mix Impact on Revenue %</t>
        </is>
      </c>
      <c r="B30" s="139" t="inlineStr">
        <is>
          <t>%</t>
        </is>
      </c>
      <c r="C30" s="144" t="n"/>
      <c r="D30" s="141" t="n">
        <v>0</v>
      </c>
      <c r="E30" s="141" t="n">
        <v>0.005</v>
      </c>
      <c r="F30" s="141" t="n">
        <v>-0.005</v>
      </c>
      <c r="G30" s="142">
        <f>INDEX(D30:F30,MATCH($B$6,$D$8:$F$8,0))</f>
        <v>0</v>
      </c>
      <c r="H30" s="143" t="inlineStr">
        <is>
          <t>Residual product/regional/channel mix effect not already captured by the explicit segment ASP and Services ARPU trajectories above. No disclosed mix-bridge figure exists; Base is neutral (0%), Bull/Bear are this agent's illustrative assumption, explicitly labeled as such, kept separate from ASP/ARPU per the Revenue Driver Tree's Step 3 instruction (FX and Mix must not be folded into ASP).</t>
        </is>
      </c>
    </row>
    <row r="31">
      <c r="A31" s="129" t="n"/>
      <c r="B31" s="129" t="n"/>
      <c r="C31" s="129" t="n"/>
      <c r="D31" s="129" t="n"/>
      <c r="E31" s="129" t="n"/>
      <c r="F31" s="129" t="n"/>
      <c r="G31" s="129" t="n"/>
      <c r="H31" s="129" t="n"/>
    </row>
    <row r="32" ht="16" customHeight="1">
      <c r="A32" s="138" t="inlineStr">
        <is>
          <t>GROSS MARGIN DRIVERS (Products and Services split -- never a single blended GM%)</t>
        </is>
      </c>
      <c r="B32" s="218" t="n"/>
      <c r="C32" s="218" t="n"/>
      <c r="D32" s="218" t="n"/>
      <c r="E32" s="218" t="n"/>
      <c r="F32" s="218" t="n"/>
      <c r="G32" s="218" t="n"/>
      <c r="H32" s="219" t="n"/>
    </row>
    <row r="33" ht="30" customHeight="1">
      <c r="A33" s="127" t="inlineStr">
        <is>
          <t>Products Gross Margin %</t>
        </is>
      </c>
      <c r="B33" s="139" t="inlineStr">
        <is>
          <t>%</t>
        </is>
      </c>
      <c r="C33" s="140" t="n">
        <v>0.368</v>
      </c>
      <c r="D33" s="141" t="n">
        <v>0.37</v>
      </c>
      <c r="E33" s="141" t="n">
        <v>0.38</v>
      </c>
      <c r="F33" s="141" t="n">
        <v>0.355</v>
      </c>
      <c r="G33" s="142">
        <f>INDEX(D33:F33,MATCH($B$6,$D$8:$F$8,0))</f>
        <v>0.37</v>
      </c>
      <c r="H33" s="143" t="inlineStr">
        <is>
          <t>Historical Reference 36.8% = FY2025 actual (10-K, sourced). 5-yr avg 36.4%, 3-yr avg 36.8% -- stable range. Base holds near the recent average; Bear reflects tariff cost pressure (FY2025 MD&amp;A: 'Products gross margin percentage decreased ... primarily due to a different mix of products and tariff costs').</t>
        </is>
      </c>
    </row>
    <row r="34" ht="30" customHeight="1">
      <c r="A34" s="127" t="inlineStr">
        <is>
          <t>Services Gross Margin %</t>
        </is>
      </c>
      <c r="B34" s="139" t="inlineStr">
        <is>
          <t>%</t>
        </is>
      </c>
      <c r="C34" s="140" t="n">
        <v>0.754</v>
      </c>
      <c r="D34" s="141" t="n">
        <v>0.755</v>
      </c>
      <c r="E34" s="141" t="n">
        <v>0.77</v>
      </c>
      <c r="F34" s="141" t="n">
        <v>0.735</v>
      </c>
      <c r="G34" s="142">
        <f>INDEX(D34:F34,MATCH($B$6,$D$8:$F$8,0))</f>
        <v>0.755</v>
      </c>
      <c r="H34" s="143" t="inlineStr">
        <is>
          <t>Historical Reference 75.4% = FY2025 actual (10-K, sourced). 5-yr trend is a steady climb (69.7/71.7/70.8/73.9/75.4), 3-yr avg 73.4%. Base assumes continued modest expansion consistent with the trend; Bear reverts toward the 3-yr average.</t>
        </is>
      </c>
    </row>
    <row r="35">
      <c r="A35" s="129" t="n"/>
      <c r="B35" s="129" t="n"/>
      <c r="C35" s="129" t="n"/>
      <c r="D35" s="129" t="n"/>
      <c r="E35" s="129" t="n"/>
      <c r="F35" s="129" t="n"/>
      <c r="G35" s="129" t="n"/>
      <c r="H35" s="129" t="n"/>
    </row>
    <row r="36" ht="16" customHeight="1">
      <c r="A36" s="138" t="inlineStr">
        <is>
          <t>OPERATING EXPENSE DRIVERS (% of total revenue)</t>
        </is>
      </c>
      <c r="B36" s="218" t="n"/>
      <c r="C36" s="218" t="n"/>
      <c r="D36" s="218" t="n"/>
      <c r="E36" s="218" t="n"/>
      <c r="F36" s="218" t="n"/>
      <c r="G36" s="218" t="n"/>
      <c r="H36" s="219" t="n"/>
    </row>
    <row r="37" ht="30" customHeight="1">
      <c r="A37" s="127" t="inlineStr">
        <is>
          <t>SG&amp;A (% of Revenue)</t>
        </is>
      </c>
      <c r="B37" s="139" t="inlineStr">
        <is>
          <t>%</t>
        </is>
      </c>
      <c r="C37" s="140" t="n">
        <v>0.0663</v>
      </c>
      <c r="D37" s="141" t="n">
        <v>0.066</v>
      </c>
      <c r="E37" s="141" t="n">
        <v>0.062</v>
      </c>
      <c r="F37" s="141" t="n">
        <v>0.07199999999999999</v>
      </c>
      <c r="G37" s="142">
        <f>INDEX(D37:F37,MATCH($B$6,$D$8:$F$8,0))</f>
        <v>0.066</v>
      </c>
      <c r="H37" s="143" t="inlineStr">
        <is>
          <t>Historical Reference 6.63% = FY2025 actual (10-K, sourced: SG&amp;A $27,601M / Revenue $416,161M). 5-yr trend 6.01/6.36/6.50/6.67/6.63% -- rising then plateauing. Bull = LOWER cost ratio (operating use); Bear = higher cost ratio (cost inflation).</t>
        </is>
      </c>
    </row>
    <row r="38" ht="30" customHeight="1">
      <c r="A38" s="127" t="inlineStr">
        <is>
          <t>R&amp;D (% of Revenue)</t>
        </is>
      </c>
      <c r="B38" s="139" t="inlineStr">
        <is>
          <t>%</t>
        </is>
      </c>
      <c r="C38" s="140" t="n">
        <v>0.083</v>
      </c>
      <c r="D38" s="141" t="n">
        <v>0.083</v>
      </c>
      <c r="E38" s="141" t="n">
        <v>0.078</v>
      </c>
      <c r="F38" s="141" t="n">
        <v>0.09</v>
      </c>
      <c r="G38" s="142">
        <f>INDEX(D38:F38,MATCH($B$6,$D$8:$F$8,0))</f>
        <v>0.083</v>
      </c>
      <c r="H38" s="143" t="inlineStr">
        <is>
          <t>Historical Reference 8.30% = FY2025 actual (10-K, sourced: R&amp;D $34,550M / Revenue $416,161M). 5-yr trend is a steady climb (5.99/6.66/7.80/8.02/8.30%), consistent with the Business Memo's AI Strategy commentary on rising R&amp;D intensity. Bull = LOWER cost ratio (revenue outgrows R&amp;D spend); Bear = continued heavy AI investment without proportional revenue growth.</t>
        </is>
      </c>
    </row>
    <row r="39">
      <c r="A39" s="129" t="n"/>
      <c r="B39" s="129" t="n"/>
      <c r="C39" s="129" t="n"/>
      <c r="D39" s="129" t="n"/>
      <c r="E39" s="129" t="n"/>
      <c r="F39" s="129" t="n"/>
      <c r="G39" s="129" t="n"/>
      <c r="H39" s="129" t="n"/>
    </row>
    <row r="40" ht="16" customHeight="1">
      <c r="A40" s="138" t="inlineStr">
        <is>
          <t>WORKING CAPITAL DRIVERS (days; AR via DSO, Inventory via DIO, AP via DPO)</t>
        </is>
      </c>
      <c r="B40" s="218" t="n"/>
      <c r="C40" s="218" t="n"/>
      <c r="D40" s="218" t="n"/>
      <c r="E40" s="218" t="n"/>
      <c r="F40" s="218" t="n"/>
      <c r="G40" s="218" t="n"/>
      <c r="H40" s="219" t="n"/>
    </row>
    <row r="41" ht="30" customHeight="1">
      <c r="A41" s="127" t="inlineStr">
        <is>
          <t>Days Sales Outstanding (DSO)</t>
        </is>
      </c>
      <c r="B41" s="139" t="inlineStr">
        <is>
          <t>days</t>
        </is>
      </c>
      <c r="C41" s="149" t="n">
        <v>29.3</v>
      </c>
      <c r="D41" s="150" t="n">
        <v>33</v>
      </c>
      <c r="E41" s="150" t="n">
        <v>29</v>
      </c>
      <c r="F41" s="150" t="n">
        <v>37</v>
      </c>
      <c r="G41" s="151">
        <f>INDEX(D41:F41,MATCH($B$6,$D$8:$F$8,0))</f>
        <v>33</v>
      </c>
      <c r="H41" s="143" t="inlineStr">
        <is>
          <t>Historical Reference 29.3 days = 5-yr average of (AR / Total Revenue x 365) computed from the Historical Database Annual tab: 26.2/26.1/28.1/31.2/34.9 days FY21-25 -- a clear, steady rising trend (slower collections). Base (33.0) sits near the FY2025 actual (34.9) with slight mean-reversion; Bull = LOWER DSO (faster collection, favorable); Bear = continued deterioration along the observed trend.</t>
        </is>
      </c>
    </row>
    <row r="42" ht="30" customHeight="1">
      <c r="A42" s="127" t="inlineStr">
        <is>
          <t>Days Inventory Outstanding (DIO)</t>
        </is>
      </c>
      <c r="B42" s="139" t="inlineStr">
        <is>
          <t>days</t>
        </is>
      </c>
      <c r="C42" s="149" t="n">
        <v>10.4</v>
      </c>
      <c r="D42" s="150" t="n">
        <v>10</v>
      </c>
      <c r="E42" s="150" t="n">
        <v>8</v>
      </c>
      <c r="F42" s="150" t="n">
        <v>13</v>
      </c>
      <c r="G42" s="151">
        <f>INDEX(D42:F42,MATCH($B$6,$D$8:$F$8,0))</f>
        <v>10</v>
      </c>
      <c r="H42" s="143" t="inlineStr">
        <is>
          <t>Historical Reference 10.4 days = 5-yr average of (Inventory / implied COGS x 365) computed from the Historical Database Annual tab (implied COGS = Total Revenue - Total Gross Margin): 11.3/8.1/10.8/12.6/9.4 days FY21-25 -- volatile, no clear trend. Bull = LOWER DIO (tighter inventory management, favorable); Bear = looser inventory control / supply-chain slippage.</t>
        </is>
      </c>
    </row>
    <row r="43" ht="30" customHeight="1">
      <c r="A43" s="127" t="inlineStr">
        <is>
          <t>Days Payable Outstanding (DPO)</t>
        </is>
      </c>
      <c r="B43" s="139" t="inlineStr">
        <is>
          <t>days</t>
        </is>
      </c>
      <c r="C43" s="149" t="n">
        <v>108.1</v>
      </c>
      <c r="D43" s="150" t="n">
        <v>115</v>
      </c>
      <c r="E43" s="150" t="n">
        <v>122</v>
      </c>
      <c r="F43" s="150" t="n">
        <v>105</v>
      </c>
      <c r="G43" s="151">
        <f>INDEX(D43:F43,MATCH($B$6,$D$8:$F$8,0))</f>
        <v>115</v>
      </c>
      <c r="H43" s="143" t="inlineStr">
        <is>
          <t>Historical Reference 108.1 days = 5-yr average of (AP / implied COGS x 365) computed from the Historical Database Annual tab: 93.9/104.7/106.7/119.7/115.4 days FY21-25 -- a clear rising trend, leveling near 115-120 in FY24-25. Base sits near the recent level; Bull = HIGHER DPO (extended payables, favorable for cash conversion); Bear = payables tighten (less favorable).</t>
        </is>
      </c>
    </row>
    <row r="44">
      <c r="A44" s="129" t="n"/>
      <c r="B44" s="129" t="n"/>
      <c r="C44" s="129" t="n"/>
      <c r="D44" s="129" t="n"/>
      <c r="E44" s="129" t="n"/>
      <c r="F44" s="129" t="n"/>
      <c r="G44" s="129" t="n"/>
      <c r="H44" s="129" t="n"/>
    </row>
    <row r="45" ht="16" customHeight="1">
      <c r="A45" s="138" t="inlineStr">
        <is>
          <t>CAPITAL STRUCTURE DRIVERS</t>
        </is>
      </c>
      <c r="B45" s="218" t="n"/>
      <c r="C45" s="218" t="n"/>
      <c r="D45" s="218" t="n"/>
      <c r="E45" s="218" t="n"/>
      <c r="F45" s="218" t="n"/>
      <c r="G45" s="218" t="n"/>
      <c r="H45" s="219" t="n"/>
    </row>
    <row r="46" ht="30" customHeight="1">
      <c r="A46" s="127" t="inlineStr">
        <is>
          <t>CapEx (% of Revenue)</t>
        </is>
      </c>
      <c r="B46" s="139" t="inlineStr">
        <is>
          <t>%</t>
        </is>
      </c>
      <c r="C46" s="140" t="n">
        <v>0.0306</v>
      </c>
      <c r="D46" s="141" t="n">
        <v>0.03</v>
      </c>
      <c r="E46" s="141" t="n">
        <v>0.026</v>
      </c>
      <c r="F46" s="141" t="n">
        <v>0.038</v>
      </c>
      <c r="G46" s="142">
        <f>INDEX(D46:F46,MATCH($B$6,$D$8:$F$8,0))</f>
        <v>0.03</v>
      </c>
      <c r="H46" s="143" t="inlineStr">
        <is>
          <t>Historical Reference 3.06% = FY2025 actual (10-K, sourced: CapEx $12,715M / Revenue $416,161M). 5-yr trend 3.03/2.72/2.86/2.42/3.06% -- FY2025 spike reflects AI infrastructure buildout. Base continues at the elevated FY2025 level; Bull = LOWER CapEx ratio (capital efficiency, more FCF); Bear = further accelerated AI infra spend.</t>
        </is>
      </c>
    </row>
    <row r="47" ht="30" customHeight="1">
      <c r="A47" s="127" t="inlineStr">
        <is>
          <t>Buyback ($ as % of Trailing FCF)</t>
        </is>
      </c>
      <c r="B47" s="139" t="inlineStr">
        <is>
          <t>%</t>
        </is>
      </c>
      <c r="C47" s="140" t="n">
        <v>0.918</v>
      </c>
      <c r="D47" s="141" t="n">
        <v>0.9</v>
      </c>
      <c r="E47" s="141" t="n">
        <v>1</v>
      </c>
      <c r="F47" s="141" t="n">
        <v>0.75</v>
      </c>
      <c r="G47" s="142">
        <f>INDEX(D47:F47,MATCH($B$6,$D$8:$F$8,0))</f>
        <v>0.9</v>
      </c>
      <c r="H47" s="143" t="inlineStr">
        <is>
          <t>Historical Reference 91.8% = FY2025 actual (10-K, sourced: Repurchases $90,711M / FCF $98,767M, where FCF = OCF $111,482M - CapEx $12,715M per the Business Memo's Free Cash Flow KPI formula). 5-yr trend 92.5/80.2/77.9/87.3/91.8%. Bull = MORE aggressive capital return (higher %); Bear = more conservative / capital preservation.</t>
        </is>
      </c>
    </row>
    <row r="48" ht="30" customHeight="1">
      <c r="A48" s="127" t="inlineStr">
        <is>
          <t>Dividend Payout (% of Net Income)</t>
        </is>
      </c>
      <c r="B48" s="139" t="inlineStr">
        <is>
          <t>%</t>
        </is>
      </c>
      <c r="C48" s="140" t="n">
        <v>0.1377</v>
      </c>
      <c r="D48" s="141" t="n">
        <v>0.15</v>
      </c>
      <c r="E48" s="141" t="n">
        <v>0.16</v>
      </c>
      <c r="F48" s="141" t="n">
        <v>0.14</v>
      </c>
      <c r="G48" s="142">
        <f>INDEX(D48:F48,MATCH($B$6,$D$8:$F$8,0))</f>
        <v>0.15</v>
      </c>
      <c r="H48" s="143" t="inlineStr">
        <is>
          <t>Historical Reference 13.77% = FY2025 actual (10-K, sourced: Dividends paid $15,421M / Net income $112,010M). 5-yr trend 15.28/14.87/15.49/16.25/13.77% -- fairly stable ~14-16% band (FY2025's dip driven by the NI spike, not a payout cut). Base sits mid-band; Bull = higher payout (dividend growth); Bear = lower payout.</t>
        </is>
      </c>
    </row>
    <row r="49" ht="30" customHeight="1">
      <c r="A49" s="127" t="inlineStr">
        <is>
          <t>Effective Tax Rate %</t>
        </is>
      </c>
      <c r="B49" s="139" t="inlineStr">
        <is>
          <t>%</t>
        </is>
      </c>
      <c r="C49" s="140" t="n">
        <v>0.1561</v>
      </c>
      <c r="D49" s="141" t="n">
        <v>0.16</v>
      </c>
      <c r="E49" s="141" t="n">
        <v>0.15</v>
      </c>
      <c r="F49" s="141" t="n">
        <v>0.18</v>
      </c>
      <c r="G49" s="142">
        <f>INDEX(D49:F49,MATCH($B$6,$D$8:$F$8,0))</f>
        <v>0.16</v>
      </c>
      <c r="H49" s="143" t="inlineStr">
        <is>
          <t>Historical Reference 15.61% = FY2025 actual (10-K, sourced: Tax provision $20,719M / pretax income $132,729M). 5-yr trend 13.3/16.2/14.7/24.1/15.6% -- FY2024's 24.1% spike is a one-time item (EU State Aid ruling-related charge), excluded from the Base anchor. Base assumes modest upward pressure from global minimum tax (OECD Pillar Two) rules vs. FY2025's rate; Bull = lower/favorable; Bear = adverse tax legislation.</t>
        </is>
      </c>
    </row>
    <row r="50" ht="30" customHeight="1">
      <c r="A50" s="127" t="inlineStr">
        <is>
          <t>Debt Roll -- Net New Issuance/(Repayment) ($M)</t>
        </is>
      </c>
      <c r="B50" s="139" t="inlineStr">
        <is>
          <t>$M</t>
        </is>
      </c>
      <c r="C50" s="144" t="n"/>
      <c r="D50" s="152" t="n">
        <v>0</v>
      </c>
      <c r="E50" s="152" t="n">
        <v>0</v>
      </c>
      <c r="F50" s="152" t="n">
        <v>0</v>
      </c>
      <c r="G50" s="153">
        <f>INDEX(D50:F50,MATCH($B$6,$D$8:$F$8,0))</f>
        <v>0</v>
      </c>
      <c r="H50" s="143" t="inlineStr">
        <is>
          <t>Held FLAT ($0 net financing) per task instruction: 'assume flat unless a specific maturity is known from the 10-K debt schedule.' The Historical Database / Sources notes extracted term-debt current/non-current BALANCES only (Annual tab rows 48/50) -- no maturity-by-tranche schedule was captured in Phase 2, so no specific future maturity is known. FY2025 actual net financing was Term debt issued $4,481M - Repaid $10,932M = -$6,451M net repayment (10-K, sourced) for reference only; not used as the forward assumption per the flat-unless-known rule.</t>
        </is>
      </c>
    </row>
    <row r="51">
      <c r="A51" s="129" t="n"/>
      <c r="B51" s="129" t="n"/>
      <c r="C51" s="129" t="n"/>
      <c r="D51" s="129" t="n"/>
      <c r="E51" s="129" t="n"/>
      <c r="F51" s="129" t="n"/>
      <c r="G51" s="129" t="n"/>
      <c r="H51" s="129" t="n"/>
    </row>
    <row r="52" ht="28" customHeight="1">
      <c r="A52" s="154" t="inlineStr">
        <is>
          <t>Color legend: blue = hardcoded scenario input; black on light green = Active output formula (INDEX/MATCH against the Scenario switch cell above); italic black = Historical Reference (sourced/derived, not itself scenario-dependent). Every Active cell also has a workbook-level defined name (e.g. iPhone_Units_Growth_Active) for well-supported reference by downstream tabs.</t>
        </is>
      </c>
      <c r="B52" s="218" t="n"/>
      <c r="C52" s="218" t="n"/>
      <c r="D52" s="218" t="n"/>
      <c r="E52" s="218" t="n"/>
      <c r="F52" s="218" t="n"/>
      <c r="G52" s="218" t="n"/>
      <c r="H52" s="219" t="n"/>
    </row>
  </sheetData>
  <mergeCells count="13">
    <mergeCell ref="A9:H9"/>
    <mergeCell ref="A4:H4"/>
    <mergeCell ref="C6:H6"/>
    <mergeCell ref="A3:H3"/>
    <mergeCell ref="A45:H45"/>
    <mergeCell ref="A2:H2"/>
    <mergeCell ref="A52:H52"/>
    <mergeCell ref="A28:H28"/>
    <mergeCell ref="A36:H36"/>
    <mergeCell ref="A1:H1"/>
    <mergeCell ref="A23:H23"/>
    <mergeCell ref="A32:H32"/>
    <mergeCell ref="A40:H40"/>
  </mergeCells>
  <dataValidations count="1">
    <dataValidation sqref="B6" showDropDown="0" showInputMessage="0" showErrorMessage="1" allowBlank="0" errorTitle="Invalid scenario" error="Choose Base, Bull, or Bear." type="list">
      <formula1>"Base,Bull,Bear"</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127"/>
  <sheetViews>
    <sheetView showGridLines="1" workbookViewId="0">
      <pane xSplit="1" ySplit="6" topLeftCell="B7" activePane="bottomRight" state="frozen"/>
      <selection pane="top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42"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55" customWidth="1" min="24" max="24"/>
    <col width="13" customWidth="1" min="25" max="25"/>
    <col width="13" customWidth="1" min="26" max="26"/>
    <col width="13" customWidth="1" min="27" max="27"/>
    <col width="13" customWidth="1" min="28" max="28"/>
    <col width="13" customWidth="1" min="29" max="29"/>
    <col width="13" customWidth="1" min="30" max="30"/>
    <col width="55" customWidth="1" min="31" max="31"/>
    <col width="13" customWidth="1" min="32" max="32"/>
    <col width="13" customWidth="1" min="33" max="33"/>
    <col width="13" customWidth="1" min="34" max="34"/>
    <col width="13" customWidth="1" min="35" max="35"/>
    <col width="13" customWidth="1" min="36" max="36"/>
    <col width="55" customWidth="1" min="37" max="37"/>
  </cols>
  <sheetData>
    <row r="1" ht="22" customHeight="1">
      <c r="A1" s="126" t="inlineStr">
        <is>
          <t>Apple Inc. -- Driver-Based Rolling Forecast Model: INCOME STATEMENT (IS)</t>
        </is>
      </c>
      <c r="B1" s="218" t="n"/>
      <c r="C1" s="218" t="n"/>
      <c r="D1" s="218" t="n"/>
      <c r="E1" s="218" t="n"/>
      <c r="F1" s="218" t="n"/>
      <c r="G1" s="218" t="n"/>
      <c r="H1" s="218" t="n"/>
      <c r="I1" s="218" t="n"/>
      <c r="J1" s="218" t="n"/>
      <c r="K1" s="218" t="n"/>
      <c r="L1" s="218" t="n"/>
      <c r="M1" s="218" t="n"/>
      <c r="N1" s="218" t="n"/>
      <c r="O1" s="218" t="n"/>
      <c r="P1" s="219" t="n"/>
      <c r="Q1" s="132" t="n"/>
      <c r="R1" s="132" t="n"/>
      <c r="S1" s="132" t="n"/>
      <c r="T1" s="132" t="n"/>
      <c r="U1" s="132" t="n"/>
      <c r="V1" s="132" t="n"/>
      <c r="W1" s="132" t="n"/>
      <c r="X1" s="132" t="n"/>
      <c r="Y1" s="132" t="n"/>
      <c r="Z1" s="132" t="n"/>
      <c r="AA1" s="132" t="n"/>
      <c r="AB1" s="132" t="n"/>
      <c r="AC1" s="132" t="n"/>
      <c r="AD1" s="132" t="n"/>
      <c r="AE1" s="132" t="n"/>
      <c r="AF1" s="132" t="n"/>
      <c r="AG1" s="132" t="n"/>
      <c r="AH1" s="132" t="n"/>
      <c r="AI1" s="132" t="n"/>
      <c r="AJ1" s="132" t="n"/>
      <c r="AK1" s="132" t="n"/>
    </row>
    <row r="2" ht="28" customHeight="1">
      <c r="A2" s="133" t="inlineStr">
        <is>
          <t>Historical actuals (FY24 Q1 - FY26 Q2, columns B:K) are pulled directly, unmodified, from '02 Historical Financial Database.xlsx' Quarterly tab -- real disclosed/XBRL-derived figures, not re-derived. Segment/product-line revenue is not available at quarterly grain in that source (see Segment Detail tab note), so historical columns show consolidated IS lines only.</t>
        </is>
      </c>
      <c r="B2" s="218" t="n"/>
      <c r="C2" s="218" t="n"/>
      <c r="D2" s="218" t="n"/>
      <c r="E2" s="218" t="n"/>
      <c r="F2" s="218" t="n"/>
      <c r="G2" s="218" t="n"/>
      <c r="H2" s="218" t="n"/>
      <c r="I2" s="218" t="n"/>
      <c r="J2" s="218" t="n"/>
      <c r="K2" s="218" t="n"/>
      <c r="L2" s="218" t="n"/>
      <c r="M2" s="218" t="n"/>
      <c r="N2" s="218" t="n"/>
      <c r="O2" s="218" t="n"/>
      <c r="P2" s="219" t="n"/>
      <c r="Q2" s="129" t="n"/>
      <c r="R2" s="129" t="n"/>
      <c r="S2" s="129" t="n"/>
      <c r="T2" s="129" t="n"/>
      <c r="U2" s="129" t="n"/>
      <c r="V2" s="129" t="n"/>
      <c r="W2" s="129" t="n"/>
      <c r="X2" s="129" t="n"/>
      <c r="Y2" s="129" t="n"/>
      <c r="Z2" s="129" t="n"/>
      <c r="AA2" s="129" t="n"/>
      <c r="AB2" s="129" t="n"/>
      <c r="AC2" s="129" t="n"/>
      <c r="AD2" s="129" t="n"/>
      <c r="AE2" s="129" t="n"/>
      <c r="AF2" s="129" t="n"/>
      <c r="AG2" s="129" t="n"/>
      <c r="AH2" s="129" t="n"/>
      <c r="AI2" s="129" t="n"/>
      <c r="AJ2" s="129" t="n"/>
      <c r="AK2" s="129" t="n"/>
    </row>
    <row r="3" ht="55" customHeight="1">
      <c r="A3" s="133" t="inlineStr">
        <is>
          <t>FY2026 Approved AOP (columns L:P) is the first vintage in the rolling-forecast chain (Project Spec): built entirely from real Excel formulas referencing the Drivers tab's Active column (Base/Bull/Bear switch at Drivers!B6) applied to FY2025 actual segment/Services revenue anchors, split into quarters via FY2024-FY2025 average seasonality weights (rows 8-13). Simplifications: Other income/(expense) is treated as immaterial (Tax_Rate_Active applied directly to Operating Income, not a separately-driven pretax line); diluted share count is held flat at the FY26 Q2 actual implied count (buyback-driven share-count reduction is a Balance Sheet/Cash Flow mechanic for a later task, not modeled in this IS tab). Later tasks add further vintage column blocks (Q1 Update, Q3 Reforecast, FY2027 AOP) to the right of this tab -- this FY2026 Approved AOP block is never overwritten.</t>
        </is>
      </c>
      <c r="B3" s="218" t="n"/>
      <c r="C3" s="218" t="n"/>
      <c r="D3" s="218" t="n"/>
      <c r="E3" s="218" t="n"/>
      <c r="F3" s="218" t="n"/>
      <c r="G3" s="218" t="n"/>
      <c r="H3" s="218" t="n"/>
      <c r="I3" s="218" t="n"/>
      <c r="J3" s="218" t="n"/>
      <c r="K3" s="218" t="n"/>
      <c r="L3" s="218" t="n"/>
      <c r="M3" s="218" t="n"/>
      <c r="N3" s="218" t="n"/>
      <c r="O3" s="218" t="n"/>
      <c r="P3" s="219" t="n"/>
      <c r="Q3" s="129" t="n"/>
      <c r="R3" s="129" t="n"/>
      <c r="S3" s="129" t="n"/>
      <c r="T3" s="129" t="n"/>
      <c r="U3" s="129" t="n"/>
      <c r="V3" s="129" t="n"/>
      <c r="W3" s="129" t="n"/>
      <c r="X3" s="129" t="n"/>
      <c r="Y3" s="129" t="n"/>
      <c r="Z3" s="129" t="n"/>
      <c r="AA3" s="129" t="n"/>
      <c r="AB3" s="129" t="n"/>
      <c r="AC3" s="129" t="n"/>
      <c r="AD3" s="129" t="n"/>
      <c r="AE3" s="129" t="n"/>
      <c r="AF3" s="129" t="n"/>
      <c r="AG3" s="129" t="n"/>
      <c r="AH3" s="129" t="n"/>
      <c r="AI3" s="129" t="n"/>
      <c r="AJ3" s="129" t="n"/>
      <c r="AK3" s="129" t="n"/>
    </row>
    <row r="4">
      <c r="A4" s="129" t="n"/>
      <c r="B4" s="129" t="n"/>
      <c r="C4" s="129" t="n"/>
      <c r="D4" s="129" t="n"/>
      <c r="E4" s="129" t="n"/>
      <c r="F4" s="129" t="n"/>
      <c r="G4" s="129" t="n"/>
      <c r="H4" s="129" t="n"/>
      <c r="I4" s="129" t="n"/>
      <c r="J4" s="129" t="n"/>
      <c r="K4" s="129" t="n"/>
      <c r="L4" s="129" t="n"/>
      <c r="M4" s="129" t="n"/>
      <c r="N4" s="129" t="n"/>
      <c r="O4" s="129" t="n"/>
      <c r="P4" s="129" t="n"/>
      <c r="Q4" s="129" t="n"/>
      <c r="R4" s="129" t="n"/>
      <c r="S4" s="129" t="n"/>
      <c r="T4" s="129" t="n"/>
      <c r="U4" s="129" t="n"/>
      <c r="V4" s="129" t="n"/>
      <c r="W4" s="129" t="n"/>
      <c r="X4" s="129" t="n"/>
      <c r="Y4" s="129" t="n"/>
      <c r="Z4" s="129" t="n"/>
      <c r="AA4" s="129" t="n"/>
      <c r="AB4" s="129" t="n"/>
      <c r="AC4" s="129" t="n"/>
      <c r="AD4" s="129" t="n"/>
      <c r="AE4" s="129" t="n"/>
      <c r="AF4" s="129" t="n"/>
      <c r="AG4" s="129" t="n"/>
      <c r="AH4" s="129" t="n"/>
      <c r="AI4" s="129" t="n"/>
      <c r="AJ4" s="129" t="n"/>
      <c r="AK4" s="129" t="n"/>
    </row>
    <row r="5" ht="18" customHeight="1">
      <c r="A5" s="129" t="n"/>
      <c r="B5" s="137" t="inlineStr">
        <is>
          <t>HISTORICAL ACTUALS -- Source: 02 Historical Financial Database.xlsx, Quarterly tab (real values, not re-derived)</t>
        </is>
      </c>
      <c r="C5" s="218" t="n"/>
      <c r="D5" s="218" t="n"/>
      <c r="E5" s="218" t="n"/>
      <c r="F5" s="218" t="n"/>
      <c r="G5" s="218" t="n"/>
      <c r="H5" s="218" t="n"/>
      <c r="I5" s="218" t="n"/>
      <c r="J5" s="218" t="n"/>
      <c r="K5" s="219" t="n"/>
      <c r="L5" s="155" t="inlineStr">
        <is>
          <t>FY2026 Approved AOP -- first rolling-forecast vintage (Drivers tab Active column; Base/Bull/Bear scenario switch at Drivers!B6)</t>
        </is>
      </c>
      <c r="M5" s="218" t="n"/>
      <c r="N5" s="218" t="n"/>
      <c r="O5" s="218" t="n"/>
      <c r="P5" s="219" t="n"/>
      <c r="Q5" s="156" t="inlineStr">
        <is>
          <t>Q1 FY2026 ACTUAL vs. APPROVED AOP VARIANCE -- Actual = mirror of historical col J (real data); Variance = Actual - Approved AOP Q1 (col L)</t>
        </is>
      </c>
      <c r="R5" s="218" t="n"/>
      <c r="S5" s="219" t="n"/>
      <c r="T5" s="157" t="inlineStr">
        <is>
          <t>Q1 FORECAST UPDATE -- second rolling-forecast vintage (Q1 FY2026 actual reported; Q2-Q4 FY2026 reforecast using the Drivers tab Active column PLUS the Q1-actual driver adjustments in rows 63-78 below, in place of reverting to the original AOP assumptions where the Q1 variance was material)</t>
        </is>
      </c>
      <c r="U5" s="218" t="n"/>
      <c r="V5" s="218" t="n"/>
      <c r="W5" s="219" t="n"/>
      <c r="X5" s="158" t="inlineStr">
        <is>
          <t>NOTES</t>
        </is>
      </c>
      <c r="Y5" s="159" t="inlineStr">
        <is>
          <t>Q2 FY2026 ACTUAL vs. Q1 FORECAST UPDATE VARIANCE -- Actual = mirror of historical col K (real data); Variance = Actual - Q1 Forecast Update's own Q2 column (T)</t>
        </is>
      </c>
      <c r="Z5" s="218" t="n"/>
      <c r="AA5" s="219" t="n"/>
      <c r="AB5" s="160" t="inlineStr">
        <is>
          <t>Q3 REFORECAST -- third rolling-forecast vintage, and the CURRENT / LIVE forecast in this project's story (Q1 and Q2 FY2026 are now both real actuals; Q3-Q4 reforecast using the Q1 Forecast Update's own Annual Build PLUS the Q2-actual driver adjustments in rows 84-99 below, in place of reverting to the Q1 Forecast Update's own assumptions where the Q2 variance was material)</t>
        </is>
      </c>
      <c r="AC5" s="218" t="n"/>
      <c r="AD5" s="219" t="n"/>
      <c r="AE5" s="156" t="inlineStr">
        <is>
          <t>NOTES</t>
        </is>
      </c>
      <c r="AF5" s="161" t="inlineStr">
        <is>
          <t>FY2027 AOP -- fifth and FINAL rolling-forecast vintage: next year's Annual Operating Plan, built off the Q3 Reforecast's Q4 FY2026 EXIT run-rate (col AC de-seasonalized by dividing by the Q4 weight, row 12 col E -- NOT a naive x4, and NOT the Q3 Reforecast's FY26 Total), grown one more year via the Drivers tab's Active assumptions (Base/Bull/Bear switch at Drivers!B6). Fresh forward plan -- no Driver Adjustment Log (see row 125).</t>
        </is>
      </c>
      <c r="AG5" s="218" t="n"/>
      <c r="AH5" s="218" t="n"/>
      <c r="AI5" s="218" t="n"/>
      <c r="AJ5" s="219" t="n"/>
      <c r="AK5" s="156" t="inlineStr">
        <is>
          <t>NOTES</t>
        </is>
      </c>
    </row>
    <row r="6" ht="30" customHeight="1">
      <c r="A6" s="137" t="inlineStr">
        <is>
          <t>Line Item</t>
        </is>
      </c>
      <c r="B6" s="137" t="inlineStr">
        <is>
          <t>FY24 Q1</t>
        </is>
      </c>
      <c r="C6" s="137" t="inlineStr">
        <is>
          <t>FY24 Q2</t>
        </is>
      </c>
      <c r="D6" s="137" t="inlineStr">
        <is>
          <t>FY24 Q3</t>
        </is>
      </c>
      <c r="E6" s="137" t="inlineStr">
        <is>
          <t>FY24 Q4</t>
        </is>
      </c>
      <c r="F6" s="137" t="inlineStr">
        <is>
          <t>FY25 Q1</t>
        </is>
      </c>
      <c r="G6" s="137" t="inlineStr">
        <is>
          <t>FY25 Q2</t>
        </is>
      </c>
      <c r="H6" s="137" t="inlineStr">
        <is>
          <t>FY25 Q3</t>
        </is>
      </c>
      <c r="I6" s="137" t="inlineStr">
        <is>
          <t>FY25 Q4</t>
        </is>
      </c>
      <c r="J6" s="137" t="inlineStr">
        <is>
          <t>FY26 Q1 (Actual)</t>
        </is>
      </c>
      <c r="K6" s="137" t="inlineStr">
        <is>
          <t>FY26 Q2 (Actual)</t>
        </is>
      </c>
      <c r="L6" s="155" t="inlineStr">
        <is>
          <t>Q1 -- FY2026 Approved AOP</t>
        </is>
      </c>
      <c r="M6" s="155" t="inlineStr">
        <is>
          <t>Q2 -- FY2026 Approved AOP</t>
        </is>
      </c>
      <c r="N6" s="155" t="inlineStr">
        <is>
          <t>Q3 -- FY2026 Approved AOP</t>
        </is>
      </c>
      <c r="O6" s="155" t="inlineStr">
        <is>
          <t>Q4 -- FY2026 Approved AOP</t>
        </is>
      </c>
      <c r="P6" s="155" t="inlineStr">
        <is>
          <t>FY26 Total -- FY2026 Approved AOP</t>
        </is>
      </c>
      <c r="Q6" s="156" t="inlineStr">
        <is>
          <t>Q1 FY2026 Actual</t>
        </is>
      </c>
      <c r="R6" s="162" t="inlineStr">
        <is>
          <t>Q1 vs AOP Variance ($)</t>
        </is>
      </c>
      <c r="S6" s="162" t="inlineStr">
        <is>
          <t>Q1 vs AOP Variance (%)</t>
        </is>
      </c>
      <c r="T6" s="157" t="inlineStr">
        <is>
          <t>Q2 -- Q1 Forecast Update</t>
        </is>
      </c>
      <c r="U6" s="157" t="inlineStr">
        <is>
          <t>Q3 -- Q1 Forecast Update</t>
        </is>
      </c>
      <c r="V6" s="157" t="inlineStr">
        <is>
          <t>Q4 -- Q1 Forecast Update</t>
        </is>
      </c>
      <c r="W6" s="157" t="inlineStr">
        <is>
          <t>FY26 Total -- Q1 Forecast Update</t>
        </is>
      </c>
      <c r="X6" s="158" t="inlineStr">
        <is>
          <t>Notes -- Q1 Forecast Update Rationale</t>
        </is>
      </c>
      <c r="Y6" s="159" t="inlineStr">
        <is>
          <t>Q2 FY2026 Actual</t>
        </is>
      </c>
      <c r="Z6" s="163" t="inlineStr">
        <is>
          <t>Q2 vs Q1 FU Variance ($)</t>
        </is>
      </c>
      <c r="AA6" s="163" t="inlineStr">
        <is>
          <t>Q2 vs Q1 FU Variance (%)</t>
        </is>
      </c>
      <c r="AB6" s="160" t="inlineStr">
        <is>
          <t>Q3 -- Q3 Reforecast</t>
        </is>
      </c>
      <c r="AC6" s="160" t="inlineStr">
        <is>
          <t>Q4 -- Q3 Reforecast</t>
        </is>
      </c>
      <c r="AD6" s="160" t="inlineStr">
        <is>
          <t>FY26 Total -- Q3 Reforecast</t>
        </is>
      </c>
      <c r="AE6" s="156" t="inlineStr">
        <is>
          <t>Notes -- Q3 Reforecast Rationale</t>
        </is>
      </c>
      <c r="AF6" s="161" t="inlineStr">
        <is>
          <t>Q1 -- FY2027 AOP</t>
        </is>
      </c>
      <c r="AG6" s="161" t="inlineStr">
        <is>
          <t>Q2 -- FY2027 AOP</t>
        </is>
      </c>
      <c r="AH6" s="161" t="inlineStr">
        <is>
          <t>Q3 -- FY2027 AOP</t>
        </is>
      </c>
      <c r="AI6" s="161" t="inlineStr">
        <is>
          <t>Q4 -- FY2027 AOP</t>
        </is>
      </c>
      <c r="AJ6" s="161" t="inlineStr">
        <is>
          <t>FY27 Total -- FY2027 AOP</t>
        </is>
      </c>
      <c r="AK6" s="156" t="inlineStr">
        <is>
          <t>Notes -- FY2027 AOP Rationale</t>
        </is>
      </c>
    </row>
    <row r="7">
      <c r="A7" s="129" t="n"/>
      <c r="B7" s="129" t="n"/>
      <c r="C7" s="129" t="n"/>
      <c r="D7" s="129" t="n"/>
      <c r="E7" s="129" t="n"/>
      <c r="F7" s="129" t="n"/>
      <c r="G7" s="129" t="n"/>
      <c r="H7" s="129" t="n"/>
      <c r="I7" s="129" t="n"/>
      <c r="J7" s="129" t="n"/>
      <c r="K7" s="129" t="n"/>
      <c r="L7" s="129" t="n"/>
      <c r="M7" s="129" t="n"/>
      <c r="N7" s="129" t="n"/>
      <c r="O7" s="129" t="n"/>
      <c r="P7" s="129" t="n"/>
      <c r="Q7" s="129" t="n"/>
      <c r="R7" s="129" t="n"/>
      <c r="S7" s="129" t="n"/>
      <c r="T7" s="129" t="n"/>
      <c r="U7" s="129" t="n"/>
      <c r="V7" s="129" t="n"/>
      <c r="W7" s="129" t="n"/>
      <c r="X7" s="129" t="n"/>
      <c r="Y7" s="129" t="n"/>
      <c r="Z7" s="129" t="n"/>
      <c r="AA7" s="129" t="n"/>
      <c r="AB7" s="129" t="n"/>
      <c r="AC7" s="129" t="n"/>
      <c r="AD7" s="129" t="n"/>
      <c r="AE7" s="129" t="n"/>
      <c r="AF7" s="129" t="n"/>
      <c r="AG7" s="129" t="n"/>
      <c r="AH7" s="129" t="n"/>
      <c r="AI7" s="129" t="n"/>
      <c r="AJ7" s="129" t="n"/>
      <c r="AK7" s="129" t="n"/>
    </row>
    <row r="8" ht="16" customHeight="1">
      <c r="A8" s="138" t="inlineStr">
        <is>
          <t>SEASONALITY WEIGHTS -- average of FY2024 &amp; FY2025 quarterly Net Sales as % of that FY's total (columns B:E in THIS block only = Q1..Q4, not fiscal years)</t>
        </is>
      </c>
      <c r="B8" s="218" t="n"/>
      <c r="C8" s="218" t="n"/>
      <c r="D8" s="218" t="n"/>
      <c r="E8" s="218" t="n"/>
      <c r="F8" s="218" t="n"/>
      <c r="G8" s="218" t="n"/>
      <c r="H8" s="218" t="n"/>
      <c r="I8" s="218" t="n"/>
      <c r="J8" s="218" t="n"/>
      <c r="K8" s="218" t="n"/>
      <c r="L8" s="218" t="n"/>
      <c r="M8" s="218" t="n"/>
      <c r="N8" s="218" t="n"/>
      <c r="O8" s="218" t="n"/>
      <c r="P8" s="219" t="n"/>
      <c r="Q8" s="129" t="n"/>
      <c r="R8" s="129" t="n"/>
      <c r="S8" s="129" t="n"/>
      <c r="T8" s="129" t="n"/>
      <c r="U8" s="129" t="n"/>
      <c r="V8" s="129" t="n"/>
      <c r="W8" s="129" t="n"/>
      <c r="X8" s="129" t="n"/>
      <c r="Y8" s="129" t="n"/>
      <c r="Z8" s="129" t="n"/>
      <c r="AA8" s="129" t="n"/>
      <c r="AB8" s="129" t="n"/>
      <c r="AC8" s="129" t="n"/>
      <c r="AD8" s="129" t="n"/>
      <c r="AE8" s="129" t="n"/>
      <c r="AF8" s="129" t="n"/>
      <c r="AG8" s="129" t="n"/>
      <c r="AH8" s="129" t="n"/>
      <c r="AI8" s="129" t="n"/>
      <c r="AJ8" s="129" t="n"/>
      <c r="AK8" s="129" t="n"/>
    </row>
    <row r="9">
      <c r="A9" s="137" t="inlineStr">
        <is>
          <t>Quarter</t>
        </is>
      </c>
      <c r="B9" s="137" t="inlineStr">
        <is>
          <t>Q1</t>
        </is>
      </c>
      <c r="C9" s="137" t="inlineStr">
        <is>
          <t>Q2</t>
        </is>
      </c>
      <c r="D9" s="137" t="inlineStr">
        <is>
          <t>Q3</t>
        </is>
      </c>
      <c r="E9" s="137" t="inlineStr">
        <is>
          <t>Q4</t>
        </is>
      </c>
      <c r="F9" s="129" t="n"/>
      <c r="G9" s="129" t="n"/>
      <c r="H9" s="129" t="n"/>
      <c r="I9" s="129" t="n"/>
      <c r="J9" s="129" t="n"/>
      <c r="K9" s="129" t="n"/>
      <c r="L9" s="129" t="n"/>
      <c r="M9" s="129" t="n"/>
      <c r="N9" s="129" t="n"/>
      <c r="O9" s="129" t="n"/>
      <c r="P9" s="129" t="n"/>
      <c r="Q9" s="129" t="n"/>
      <c r="R9" s="129" t="n"/>
      <c r="S9" s="129" t="n"/>
      <c r="T9" s="129" t="n"/>
      <c r="U9" s="129" t="n"/>
      <c r="V9" s="129" t="n"/>
      <c r="W9" s="129" t="n"/>
      <c r="X9" s="129" t="n"/>
      <c r="Y9" s="129" t="n"/>
      <c r="Z9" s="129" t="n"/>
      <c r="AA9" s="129" t="n"/>
      <c r="AB9" s="129" t="n"/>
      <c r="AC9" s="129" t="n"/>
      <c r="AD9" s="129" t="n"/>
      <c r="AE9" s="129" t="n"/>
      <c r="AF9" s="129" t="n"/>
      <c r="AG9" s="129" t="n"/>
      <c r="AH9" s="129" t="n"/>
      <c r="AI9" s="129" t="n"/>
      <c r="AJ9" s="129" t="n"/>
      <c r="AK9" s="129" t="n"/>
    </row>
    <row r="10">
      <c r="A10" s="127" t="inlineStr">
        <is>
          <t>FY2024 Net Sales % of FY2024 Total</t>
        </is>
      </c>
      <c r="B10" s="142">
        <f>B41/SUM($B$41:$E$41)</f>
        <v>0.305791041722608</v>
      </c>
      <c r="C10" s="142">
        <f>C41/SUM($B$41:$E$41)</f>
        <v>0.232084084544862</v>
      </c>
      <c r="D10" s="142">
        <f>D41/SUM($B$41:$E$41)</f>
        <v>0.219358880918588</v>
      </c>
      <c r="E10" s="142">
        <f>E41/SUM($B$41:$E$41)</f>
        <v>0.242765992813942</v>
      </c>
      <c r="F10" s="129" t="n"/>
      <c r="G10" s="129" t="n"/>
      <c r="H10" s="129" t="n"/>
      <c r="I10" s="129" t="n"/>
      <c r="J10" s="129" t="n"/>
      <c r="K10" s="129" t="n"/>
      <c r="L10" s="129" t="n"/>
      <c r="M10" s="129" t="n"/>
      <c r="N10" s="129" t="n"/>
      <c r="O10" s="129" t="n"/>
      <c r="P10" s="129" t="n"/>
      <c r="Q10" s="129" t="n"/>
      <c r="R10" s="129" t="n"/>
      <c r="S10" s="129" t="n"/>
      <c r="T10" s="129" t="n"/>
      <c r="U10" s="129" t="n"/>
      <c r="V10" s="129" t="n"/>
      <c r="W10" s="129" t="n"/>
      <c r="X10" s="129" t="n"/>
      <c r="Y10" s="129" t="n"/>
      <c r="Z10" s="129" t="n"/>
      <c r="AA10" s="129" t="n"/>
      <c r="AB10" s="129" t="n"/>
      <c r="AC10" s="129" t="n"/>
      <c r="AD10" s="129" t="n"/>
      <c r="AE10" s="129" t="n"/>
      <c r="AF10" s="129" t="n"/>
      <c r="AG10" s="129" t="n"/>
      <c r="AH10" s="129" t="n"/>
      <c r="AI10" s="129" t="n"/>
      <c r="AJ10" s="129" t="n"/>
      <c r="AK10" s="129" t="n"/>
    </row>
    <row r="11">
      <c r="A11" s="127" t="inlineStr">
        <is>
          <t>FY2025 Net Sales % of FY2025 Total</t>
        </is>
      </c>
      <c r="B11" s="142">
        <f>F41/SUM($F$41:$I$41)</f>
        <v>0.298682481059013</v>
      </c>
      <c r="C11" s="142">
        <f>G41/SUM($F$41:$I$41)</f>
        <v>0.229139683920406</v>
      </c>
      <c r="D11" s="142">
        <f>H41/SUM($F$41:$I$41)</f>
        <v>0.22596062581549</v>
      </c>
      <c r="E11" s="142">
        <f>I41/SUM($F$41:$I$41)</f>
        <v>0.246217209205091</v>
      </c>
      <c r="F11" s="129" t="n"/>
      <c r="G11" s="129" t="n"/>
      <c r="H11" s="129" t="n"/>
      <c r="I11" s="129" t="n"/>
      <c r="J11" s="129" t="n"/>
      <c r="K11" s="129" t="n"/>
      <c r="L11" s="129" t="n"/>
      <c r="M11" s="129" t="n"/>
      <c r="N11" s="129" t="n"/>
      <c r="O11" s="129" t="n"/>
      <c r="P11" s="129" t="n"/>
      <c r="Q11" s="129" t="n"/>
      <c r="R11" s="129" t="n"/>
      <c r="S11" s="129" t="n"/>
      <c r="T11" s="129" t="n"/>
      <c r="U11" s="129" t="n"/>
      <c r="V11" s="129" t="n"/>
      <c r="W11" s="129" t="n"/>
      <c r="X11" s="129" t="n"/>
      <c r="Y11" s="129" t="n"/>
      <c r="Z11" s="129" t="n"/>
      <c r="AA11" s="129" t="n"/>
      <c r="AB11" s="129" t="n"/>
      <c r="AC11" s="129" t="n"/>
      <c r="AD11" s="129" t="n"/>
      <c r="AE11" s="129" t="n"/>
      <c r="AF11" s="129" t="n"/>
      <c r="AG11" s="129" t="n"/>
      <c r="AH11" s="129" t="n"/>
      <c r="AI11" s="129" t="n"/>
      <c r="AJ11" s="129" t="n"/>
      <c r="AK11" s="129" t="n"/>
    </row>
    <row r="12">
      <c r="A12" s="164" t="inlineStr">
        <is>
          <t>Average Seasonality Weight (applied to AOP annual $)</t>
        </is>
      </c>
      <c r="B12" s="142">
        <f>AVERAGE(B10,B11)</f>
        <v>0.302236761390811</v>
      </c>
      <c r="C12" s="142">
        <f>AVERAGE(C10,C11)</f>
        <v>0.230611884232634</v>
      </c>
      <c r="D12" s="142">
        <f>AVERAGE(D10,D11)</f>
        <v>0.222659753367039</v>
      </c>
      <c r="E12" s="142">
        <f>AVERAGE(E10,E11)</f>
        <v>0.244491601009517</v>
      </c>
      <c r="F12" s="129" t="n"/>
      <c r="G12" s="129" t="n"/>
      <c r="H12" s="129" t="n"/>
      <c r="I12" s="129" t="n"/>
      <c r="J12" s="129" t="n"/>
      <c r="K12" s="129" t="n"/>
      <c r="L12" s="129" t="n"/>
      <c r="M12" s="129" t="n"/>
      <c r="N12" s="129" t="n"/>
      <c r="O12" s="129" t="n"/>
      <c r="P12" s="129" t="n"/>
      <c r="Q12" s="129" t="n"/>
      <c r="R12" s="129" t="n"/>
      <c r="S12" s="129" t="n"/>
      <c r="T12" s="129" t="n"/>
      <c r="U12" s="129" t="n"/>
      <c r="V12" s="129" t="n"/>
      <c r="W12" s="129" t="n"/>
      <c r="X12" s="129" t="n"/>
      <c r="Y12" s="129" t="n"/>
      <c r="Z12" s="129" t="n"/>
      <c r="AA12" s="129" t="n"/>
      <c r="AB12" s="129" t="n"/>
      <c r="AC12" s="129" t="n"/>
      <c r="AD12" s="129" t="n"/>
      <c r="AE12" s="129" t="n"/>
      <c r="AF12" s="129" t="n"/>
      <c r="AG12" s="129" t="n"/>
      <c r="AH12" s="129" t="n"/>
      <c r="AI12" s="129" t="n"/>
      <c r="AJ12" s="129" t="n"/>
      <c r="AK12" s="129" t="n"/>
    </row>
    <row r="13">
      <c r="A13" s="165" t="inlineStr">
        <is>
          <t>Check: weights sum to 100%</t>
        </is>
      </c>
      <c r="B13" s="142">
        <f>SUM(B12:E12)</f>
        <v>1</v>
      </c>
      <c r="C13" s="129" t="n"/>
      <c r="D13" s="129" t="n"/>
      <c r="E13" s="129" t="n"/>
      <c r="F13" s="129" t="n"/>
      <c r="G13" s="129" t="n"/>
      <c r="H13" s="129" t="n"/>
      <c r="I13" s="129" t="n"/>
      <c r="J13" s="129" t="n"/>
      <c r="K13" s="129" t="n"/>
      <c r="L13" s="129" t="n"/>
      <c r="M13" s="129" t="n"/>
      <c r="N13" s="129" t="n"/>
      <c r="O13" s="129" t="n"/>
      <c r="P13" s="129" t="n"/>
      <c r="Q13" s="129" t="n"/>
      <c r="R13" s="129" t="n"/>
      <c r="S13" s="129" t="n"/>
      <c r="T13" s="129" t="n"/>
      <c r="U13" s="129" t="n"/>
      <c r="V13" s="129" t="n"/>
      <c r="W13" s="129" t="n"/>
      <c r="X13" s="129" t="n"/>
      <c r="Y13" s="129" t="n"/>
      <c r="Z13" s="129" t="n"/>
      <c r="AA13" s="129" t="n"/>
      <c r="AB13" s="129" t="n"/>
      <c r="AC13" s="129" t="n"/>
      <c r="AD13" s="129" t="n"/>
      <c r="AE13" s="129" t="n"/>
      <c r="AF13" s="129" t="n"/>
      <c r="AG13" s="129" t="n"/>
      <c r="AH13" s="129" t="n"/>
      <c r="AI13" s="129" t="n"/>
      <c r="AJ13" s="129" t="n"/>
      <c r="AK13" s="129" t="n"/>
    </row>
    <row r="14">
      <c r="A14" s="129" t="n"/>
      <c r="B14" s="129" t="n"/>
      <c r="C14" s="129" t="n"/>
      <c r="D14" s="129" t="n"/>
      <c r="E14" s="129" t="n"/>
      <c r="F14" s="129" t="n"/>
      <c r="G14" s="129" t="n"/>
      <c r="H14" s="129" t="n"/>
      <c r="I14" s="129" t="n"/>
      <c r="J14" s="129" t="n"/>
      <c r="K14" s="129" t="n"/>
      <c r="L14" s="129" t="n"/>
      <c r="M14" s="129" t="n"/>
      <c r="N14" s="129" t="n"/>
      <c r="O14" s="129" t="n"/>
      <c r="P14" s="129" t="n"/>
      <c r="Q14" s="129" t="n"/>
      <c r="R14" s="129" t="n"/>
      <c r="S14" s="129" t="n"/>
      <c r="T14" s="129" t="n"/>
      <c r="U14" s="129" t="n"/>
      <c r="V14" s="129" t="n"/>
      <c r="W14" s="129" t="n"/>
      <c r="X14" s="129" t="n"/>
      <c r="Y14" s="129" t="n"/>
      <c r="Z14" s="129" t="n"/>
      <c r="AA14" s="129" t="n"/>
      <c r="AB14" s="129" t="n"/>
      <c r="AC14" s="129" t="n"/>
      <c r="AD14" s="129" t="n"/>
      <c r="AE14" s="129" t="n"/>
      <c r="AF14" s="129" t="n"/>
      <c r="AG14" s="129" t="n"/>
      <c r="AH14" s="129" t="n"/>
      <c r="AI14" s="129" t="n"/>
      <c r="AJ14" s="129" t="n"/>
      <c r="AK14" s="129" t="n"/>
    </row>
    <row r="15" ht="16" customHeight="1">
      <c r="A15" s="138" t="inlineStr">
        <is>
          <t>FY2026 APPROVED AOP -- ANNUAL BUILD (helper: Drivers Active column x FY2025 actual anchors -&gt; full-year AOP revenue, before the seasonality quarterly split above)</t>
        </is>
      </c>
      <c r="B15" s="218" t="n"/>
      <c r="C15" s="218" t="n"/>
      <c r="D15" s="218" t="n"/>
      <c r="E15" s="218" t="n"/>
      <c r="F15" s="218" t="n"/>
      <c r="G15" s="218" t="n"/>
      <c r="H15" s="218" t="n"/>
      <c r="I15" s="218" t="n"/>
      <c r="J15" s="218" t="n"/>
      <c r="K15" s="218" t="n"/>
      <c r="L15" s="218" t="n"/>
      <c r="M15" s="218" t="n"/>
      <c r="N15" s="218" t="n"/>
      <c r="O15" s="218" t="n"/>
      <c r="P15" s="219" t="n"/>
      <c r="Q15" s="129" t="n"/>
      <c r="R15" s="129" t="n"/>
      <c r="S15" s="129" t="n"/>
      <c r="T15" s="129" t="n"/>
      <c r="U15" s="129" t="n"/>
      <c r="V15" s="129" t="n"/>
      <c r="W15" s="129" t="n"/>
      <c r="X15" s="129" t="n"/>
      <c r="Y15" s="129" t="n"/>
      <c r="Z15" s="129" t="n"/>
      <c r="AA15" s="129" t="n"/>
      <c r="AB15" s="129" t="n"/>
      <c r="AC15" s="129" t="n"/>
      <c r="AD15" s="129" t="n"/>
      <c r="AE15" s="129" t="n"/>
      <c r="AF15" s="129" t="n"/>
      <c r="AG15" s="129" t="n"/>
      <c r="AH15" s="129" t="n"/>
      <c r="AI15" s="129" t="n"/>
      <c r="AJ15" s="129" t="n"/>
      <c r="AK15" s="129" t="n"/>
    </row>
    <row r="16">
      <c r="A16" s="127" t="inlineStr">
        <is>
          <t>iPhone: FY2025 Actual Revenue anchor ($M)</t>
        </is>
      </c>
      <c r="B16" s="166" t="n">
        <v>209586</v>
      </c>
      <c r="C16" s="154" t="inlineStr">
        <is>
          <t>Real FY2025 actual, sourced from 02 Historical Financial Database.xlsx Segment Detail tab (10-K disclosed).</t>
        </is>
      </c>
      <c r="D16" s="218" t="n"/>
      <c r="E16" s="218" t="n"/>
      <c r="F16" s="218" t="n"/>
      <c r="G16" s="218" t="n"/>
      <c r="H16" s="218" t="n"/>
      <c r="I16" s="218" t="n"/>
      <c r="J16" s="218" t="n"/>
      <c r="K16" s="218" t="n"/>
      <c r="L16" s="218" t="n"/>
      <c r="M16" s="218" t="n"/>
      <c r="N16" s="218" t="n"/>
      <c r="O16" s="218" t="n"/>
      <c r="P16" s="219" t="n"/>
      <c r="Q16" s="129" t="n"/>
      <c r="R16" s="129" t="n"/>
      <c r="S16" s="129" t="n"/>
      <c r="T16" s="129" t="n"/>
      <c r="U16" s="129" t="n"/>
      <c r="V16" s="129" t="n"/>
      <c r="W16" s="129" t="n"/>
      <c r="X16" s="129" t="n"/>
      <c r="Y16" s="129" t="n"/>
      <c r="Z16" s="129" t="n"/>
      <c r="AA16" s="129" t="n"/>
      <c r="AB16" s="129" t="n"/>
      <c r="AC16" s="129" t="n"/>
      <c r="AD16" s="129" t="n"/>
      <c r="AE16" s="129" t="n"/>
      <c r="AF16" s="129" t="n"/>
      <c r="AG16" s="129" t="n"/>
      <c r="AH16" s="129" t="n"/>
      <c r="AI16" s="129" t="n"/>
      <c r="AJ16" s="129" t="n"/>
      <c r="AK16" s="129" t="n"/>
    </row>
    <row r="17">
      <c r="A17" s="127" t="inlineStr">
        <is>
          <t>iPhone: Implied FY2025 Units (M)</t>
        </is>
      </c>
      <c r="B17" s="167">
        <f>B16/Drivers!$C$12</f>
        <v>232.873333333333</v>
      </c>
      <c r="C17" s="154" t="inlineStr">
        <is>
          <t>FY2025 anchor revenue divided by Drivers!C12 (Historical Reference ASP/ARPU $; not scenario-dependent).</t>
        </is>
      </c>
      <c r="D17" s="218" t="n"/>
      <c r="E17" s="218" t="n"/>
      <c r="F17" s="218" t="n"/>
      <c r="G17" s="218" t="n"/>
      <c r="H17" s="218" t="n"/>
      <c r="I17" s="218" t="n"/>
      <c r="J17" s="218" t="n"/>
      <c r="K17" s="218" t="n"/>
      <c r="L17" s="218" t="n"/>
      <c r="M17" s="218" t="n"/>
      <c r="N17" s="218" t="n"/>
      <c r="O17" s="218" t="n"/>
      <c r="P17" s="219" t="n"/>
      <c r="Q17" s="129" t="n"/>
      <c r="R17" s="129" t="n"/>
      <c r="S17" s="129" t="n"/>
      <c r="T17" s="129" t="n"/>
      <c r="U17" s="129" t="n"/>
      <c r="V17" s="129" t="n"/>
      <c r="W17" s="129" t="n"/>
      <c r="X17" s="129" t="n"/>
      <c r="Y17" s="129" t="n"/>
      <c r="Z17" s="129" t="n"/>
      <c r="AA17" s="129" t="n"/>
      <c r="AB17" s="129" t="n"/>
      <c r="AC17" s="129" t="n"/>
      <c r="AD17" s="129" t="n"/>
      <c r="AE17" s="129" t="n"/>
      <c r="AF17" s="129" t="n"/>
      <c r="AG17" s="129" t="n"/>
      <c r="AH17" s="129" t="n"/>
      <c r="AI17" s="129" t="n"/>
      <c r="AJ17" s="129" t="n"/>
      <c r="AK17" s="129" t="n"/>
    </row>
    <row r="18">
      <c r="A18" s="164" t="inlineStr">
        <is>
          <t>iPhone: FY2026 AOP Annual Revenue ($M)</t>
        </is>
      </c>
      <c r="B18" s="146">
        <f>B17*(1+iPhone_Units_Growth_Active)*iPhone_ASP_Active*(1+FX_Impact_Active)*(1+Mix_Impact_Active)</f>
        <v>216984.3858</v>
      </c>
      <c r="C18" s="154" t="inlineStr">
        <is>
          <t>Implied units/base x (1+iPhone_Units_Growth_Active) x iPhone_ASP_Active x (1+FX_Impact_Active) x (1+Mix_Impact_Active).</t>
        </is>
      </c>
      <c r="D18" s="218" t="n"/>
      <c r="E18" s="218" t="n"/>
      <c r="F18" s="218" t="n"/>
      <c r="G18" s="218" t="n"/>
      <c r="H18" s="218" t="n"/>
      <c r="I18" s="218" t="n"/>
      <c r="J18" s="218" t="n"/>
      <c r="K18" s="218" t="n"/>
      <c r="L18" s="218" t="n"/>
      <c r="M18" s="218" t="n"/>
      <c r="N18" s="218" t="n"/>
      <c r="O18" s="218" t="n"/>
      <c r="P18" s="219" t="n"/>
      <c r="Q18" s="129" t="n"/>
      <c r="R18" s="129" t="n"/>
      <c r="S18" s="129" t="n"/>
      <c r="T18" s="129" t="n"/>
      <c r="U18" s="129" t="n"/>
      <c r="V18" s="129" t="n"/>
      <c r="W18" s="129" t="n"/>
      <c r="X18" s="129" t="n"/>
      <c r="Y18" s="129" t="n"/>
      <c r="Z18" s="129" t="n"/>
      <c r="AA18" s="129" t="n"/>
      <c r="AB18" s="129" t="n"/>
      <c r="AC18" s="129" t="n"/>
      <c r="AD18" s="129" t="n"/>
      <c r="AE18" s="129" t="n"/>
      <c r="AF18" s="129" t="n"/>
      <c r="AG18" s="129" t="n"/>
      <c r="AH18" s="129" t="n"/>
      <c r="AI18" s="129" t="n"/>
      <c r="AJ18" s="129" t="n"/>
      <c r="AK18" s="129" t="n"/>
    </row>
    <row r="19">
      <c r="A19" s="127" t="inlineStr">
        <is>
          <t>Mac: FY2025 Actual Revenue anchor ($M)</t>
        </is>
      </c>
      <c r="B19" s="166" t="n">
        <v>33708</v>
      </c>
      <c r="C19" s="154" t="inlineStr">
        <is>
          <t>Real FY2025 actual, sourced from 02 Historical Financial Database.xlsx Segment Detail tab (10-K disclosed).</t>
        </is>
      </c>
      <c r="D19" s="218" t="n"/>
      <c r="E19" s="218" t="n"/>
      <c r="F19" s="218" t="n"/>
      <c r="G19" s="218" t="n"/>
      <c r="H19" s="218" t="n"/>
      <c r="I19" s="218" t="n"/>
      <c r="J19" s="218" t="n"/>
      <c r="K19" s="218" t="n"/>
      <c r="L19" s="218" t="n"/>
      <c r="M19" s="218" t="n"/>
      <c r="N19" s="218" t="n"/>
      <c r="O19" s="218" t="n"/>
      <c r="P19" s="219" t="n"/>
      <c r="Q19" s="129" t="n"/>
      <c r="R19" s="129" t="n"/>
      <c r="S19" s="129" t="n"/>
      <c r="T19" s="129" t="n"/>
      <c r="U19" s="129" t="n"/>
      <c r="V19" s="129" t="n"/>
      <c r="W19" s="129" t="n"/>
      <c r="X19" s="129" t="n"/>
      <c r="Y19" s="129" t="n"/>
      <c r="Z19" s="129" t="n"/>
      <c r="AA19" s="129" t="n"/>
      <c r="AB19" s="129" t="n"/>
      <c r="AC19" s="129" t="n"/>
      <c r="AD19" s="129" t="n"/>
      <c r="AE19" s="129" t="n"/>
      <c r="AF19" s="129" t="n"/>
      <c r="AG19" s="129" t="n"/>
      <c r="AH19" s="129" t="n"/>
      <c r="AI19" s="129" t="n"/>
      <c r="AJ19" s="129" t="n"/>
      <c r="AK19" s="129" t="n"/>
    </row>
    <row r="20">
      <c r="A20" s="127" t="inlineStr">
        <is>
          <t>Mac: Implied FY2025 Units (M)</t>
        </is>
      </c>
      <c r="B20" s="167">
        <f>B19/Drivers!$C$15</f>
        <v>24.0771428571429</v>
      </c>
      <c r="C20" s="154" t="inlineStr">
        <is>
          <t>FY2025 anchor revenue divided by Drivers!C15 (Historical Reference ASP/ARPU $; not scenario-dependent).</t>
        </is>
      </c>
      <c r="D20" s="218" t="n"/>
      <c r="E20" s="218" t="n"/>
      <c r="F20" s="218" t="n"/>
      <c r="G20" s="218" t="n"/>
      <c r="H20" s="218" t="n"/>
      <c r="I20" s="218" t="n"/>
      <c r="J20" s="218" t="n"/>
      <c r="K20" s="218" t="n"/>
      <c r="L20" s="218" t="n"/>
      <c r="M20" s="218" t="n"/>
      <c r="N20" s="218" t="n"/>
      <c r="O20" s="218" t="n"/>
      <c r="P20" s="219" t="n"/>
      <c r="Q20" s="129" t="n"/>
      <c r="R20" s="129" t="n"/>
      <c r="S20" s="129" t="n"/>
      <c r="T20" s="129" t="n"/>
      <c r="U20" s="129" t="n"/>
      <c r="V20" s="129" t="n"/>
      <c r="W20" s="129" t="n"/>
      <c r="X20" s="129" t="n"/>
      <c r="Y20" s="129" t="n"/>
      <c r="Z20" s="129" t="n"/>
      <c r="AA20" s="129" t="n"/>
      <c r="AB20" s="129" t="n"/>
      <c r="AC20" s="129" t="n"/>
      <c r="AD20" s="129" t="n"/>
      <c r="AE20" s="129" t="n"/>
      <c r="AF20" s="129" t="n"/>
      <c r="AG20" s="129" t="n"/>
      <c r="AH20" s="129" t="n"/>
      <c r="AI20" s="129" t="n"/>
      <c r="AJ20" s="129" t="n"/>
      <c r="AK20" s="129" t="n"/>
    </row>
    <row r="21">
      <c r="A21" s="164" t="inlineStr">
        <is>
          <t>Mac: FY2026 AOP Annual Revenue ($M)</t>
        </is>
      </c>
      <c r="B21" s="146">
        <f>B20*(1+Mac_Units_Growth_Active)*Mac_ASP_Active*(1+FX_Impact_Active)*(1+Mix_Impact_Active)</f>
        <v>35757.4464</v>
      </c>
      <c r="C21" s="154" t="inlineStr">
        <is>
          <t>Implied units/base x (1+Mac_Units_Growth_Active) x Mac_ASP_Active x (1+FX_Impact_Active) x (1+Mix_Impact_Active).</t>
        </is>
      </c>
      <c r="D21" s="218" t="n"/>
      <c r="E21" s="218" t="n"/>
      <c r="F21" s="218" t="n"/>
      <c r="G21" s="218" t="n"/>
      <c r="H21" s="218" t="n"/>
      <c r="I21" s="218" t="n"/>
      <c r="J21" s="218" t="n"/>
      <c r="K21" s="218" t="n"/>
      <c r="L21" s="218" t="n"/>
      <c r="M21" s="218" t="n"/>
      <c r="N21" s="218" t="n"/>
      <c r="O21" s="218" t="n"/>
      <c r="P21" s="219" t="n"/>
      <c r="Q21" s="129" t="n"/>
      <c r="R21" s="129" t="n"/>
      <c r="S21" s="129" t="n"/>
      <c r="T21" s="129" t="n"/>
      <c r="U21" s="129" t="n"/>
      <c r="V21" s="129" t="n"/>
      <c r="W21" s="129" t="n"/>
      <c r="X21" s="129" t="n"/>
      <c r="Y21" s="129" t="n"/>
      <c r="Z21" s="129" t="n"/>
      <c r="AA21" s="129" t="n"/>
      <c r="AB21" s="129" t="n"/>
      <c r="AC21" s="129" t="n"/>
      <c r="AD21" s="129" t="n"/>
      <c r="AE21" s="129" t="n"/>
      <c r="AF21" s="129" t="n"/>
      <c r="AG21" s="129" t="n"/>
      <c r="AH21" s="129" t="n"/>
      <c r="AI21" s="129" t="n"/>
      <c r="AJ21" s="129" t="n"/>
      <c r="AK21" s="129" t="n"/>
    </row>
    <row r="22">
      <c r="A22" s="127" t="inlineStr">
        <is>
          <t>iPad: FY2025 Actual Revenue anchor ($M)</t>
        </is>
      </c>
      <c r="B22" s="166" t="n">
        <v>28023</v>
      </c>
      <c r="C22" s="154" t="inlineStr">
        <is>
          <t>Real FY2025 actual, sourced from 02 Historical Financial Database.xlsx Segment Detail tab (10-K disclosed).</t>
        </is>
      </c>
      <c r="D22" s="218" t="n"/>
      <c r="E22" s="218" t="n"/>
      <c r="F22" s="218" t="n"/>
      <c r="G22" s="218" t="n"/>
      <c r="H22" s="218" t="n"/>
      <c r="I22" s="218" t="n"/>
      <c r="J22" s="218" t="n"/>
      <c r="K22" s="218" t="n"/>
      <c r="L22" s="218" t="n"/>
      <c r="M22" s="218" t="n"/>
      <c r="N22" s="218" t="n"/>
      <c r="O22" s="218" t="n"/>
      <c r="P22" s="219" t="n"/>
      <c r="Q22" s="129" t="n"/>
      <c r="R22" s="129" t="n"/>
      <c r="S22" s="129" t="n"/>
      <c r="T22" s="129" t="n"/>
      <c r="U22" s="129" t="n"/>
      <c r="V22" s="129" t="n"/>
      <c r="W22" s="129" t="n"/>
      <c r="X22" s="129" t="n"/>
      <c r="Y22" s="129" t="n"/>
      <c r="Z22" s="129" t="n"/>
      <c r="AA22" s="129" t="n"/>
      <c r="AB22" s="129" t="n"/>
      <c r="AC22" s="129" t="n"/>
      <c r="AD22" s="129" t="n"/>
      <c r="AE22" s="129" t="n"/>
      <c r="AF22" s="129" t="n"/>
      <c r="AG22" s="129" t="n"/>
      <c r="AH22" s="129" t="n"/>
      <c r="AI22" s="129" t="n"/>
      <c r="AJ22" s="129" t="n"/>
      <c r="AK22" s="129" t="n"/>
    </row>
    <row r="23">
      <c r="A23" s="127" t="inlineStr">
        <is>
          <t>iPad: Implied FY2025 Units (M)</t>
        </is>
      </c>
      <c r="B23" s="167">
        <f>B22/Drivers!$C$18</f>
        <v>58.9957894736842</v>
      </c>
      <c r="C23" s="154" t="inlineStr">
        <is>
          <t>FY2025 anchor revenue divided by Drivers!C18 (Historical Reference ASP/ARPU $; not scenario-dependent).</t>
        </is>
      </c>
      <c r="D23" s="218" t="n"/>
      <c r="E23" s="218" t="n"/>
      <c r="F23" s="218" t="n"/>
      <c r="G23" s="218" t="n"/>
      <c r="H23" s="218" t="n"/>
      <c r="I23" s="218" t="n"/>
      <c r="J23" s="218" t="n"/>
      <c r="K23" s="218" t="n"/>
      <c r="L23" s="218" t="n"/>
      <c r="M23" s="218" t="n"/>
      <c r="N23" s="218" t="n"/>
      <c r="O23" s="218" t="n"/>
      <c r="P23" s="219" t="n"/>
      <c r="Q23" s="129" t="n"/>
      <c r="R23" s="129" t="n"/>
      <c r="S23" s="129" t="n"/>
      <c r="T23" s="129" t="n"/>
      <c r="U23" s="129" t="n"/>
      <c r="V23" s="129" t="n"/>
      <c r="W23" s="129" t="n"/>
      <c r="X23" s="129" t="n"/>
      <c r="Y23" s="129" t="n"/>
      <c r="Z23" s="129" t="n"/>
      <c r="AA23" s="129" t="n"/>
      <c r="AB23" s="129" t="n"/>
      <c r="AC23" s="129" t="n"/>
      <c r="AD23" s="129" t="n"/>
      <c r="AE23" s="129" t="n"/>
      <c r="AF23" s="129" t="n"/>
      <c r="AG23" s="129" t="n"/>
      <c r="AH23" s="129" t="n"/>
      <c r="AI23" s="129" t="n"/>
      <c r="AJ23" s="129" t="n"/>
      <c r="AK23" s="129" t="n"/>
    </row>
    <row r="24">
      <c r="A24" s="164" t="inlineStr">
        <is>
          <t>iPad: FY2026 AOP Annual Revenue ($M)</t>
        </is>
      </c>
      <c r="B24" s="146">
        <f>B23*(1+iPad_Units_Growth_Active)*iPad_ASP_Active*(1+FX_Impact_Active)*(1+Mix_Impact_Active)</f>
        <v>28727.77845</v>
      </c>
      <c r="C24" s="154" t="inlineStr">
        <is>
          <t>Implied units/base x (1+iPad_Units_Growth_Active) x iPad_ASP_Active x (1+FX_Impact_Active) x (1+Mix_Impact_Active).</t>
        </is>
      </c>
      <c r="D24" s="218" t="n"/>
      <c r="E24" s="218" t="n"/>
      <c r="F24" s="218" t="n"/>
      <c r="G24" s="218" t="n"/>
      <c r="H24" s="218" t="n"/>
      <c r="I24" s="218" t="n"/>
      <c r="J24" s="218" t="n"/>
      <c r="K24" s="218" t="n"/>
      <c r="L24" s="218" t="n"/>
      <c r="M24" s="218" t="n"/>
      <c r="N24" s="218" t="n"/>
      <c r="O24" s="218" t="n"/>
      <c r="P24" s="219" t="n"/>
      <c r="Q24" s="129" t="n"/>
      <c r="R24" s="129" t="n"/>
      <c r="S24" s="129" t="n"/>
      <c r="T24" s="129" t="n"/>
      <c r="U24" s="129" t="n"/>
      <c r="V24" s="129" t="n"/>
      <c r="W24" s="129" t="n"/>
      <c r="X24" s="129" t="n"/>
      <c r="Y24" s="129" t="n"/>
      <c r="Z24" s="129" t="n"/>
      <c r="AA24" s="129" t="n"/>
      <c r="AB24" s="129" t="n"/>
      <c r="AC24" s="129" t="n"/>
      <c r="AD24" s="129" t="n"/>
      <c r="AE24" s="129" t="n"/>
      <c r="AF24" s="129" t="n"/>
      <c r="AG24" s="129" t="n"/>
      <c r="AH24" s="129" t="n"/>
      <c r="AI24" s="129" t="n"/>
      <c r="AJ24" s="129" t="n"/>
      <c r="AK24" s="129" t="n"/>
    </row>
    <row r="25">
      <c r="A25" s="127" t="inlineStr">
        <is>
          <t>Wearables, Home and Accessories: FY2025 Actual Revenue anchor ($M)</t>
        </is>
      </c>
      <c r="B25" s="166" t="n">
        <v>35686</v>
      </c>
      <c r="C25" s="154" t="inlineStr">
        <is>
          <t>Real FY2025 actual, sourced from 02 Historical Financial Database.xlsx Segment Detail tab (10-K disclosed).</t>
        </is>
      </c>
      <c r="D25" s="218" t="n"/>
      <c r="E25" s="218" t="n"/>
      <c r="F25" s="218" t="n"/>
      <c r="G25" s="218" t="n"/>
      <c r="H25" s="218" t="n"/>
      <c r="I25" s="218" t="n"/>
      <c r="J25" s="218" t="n"/>
      <c r="K25" s="218" t="n"/>
      <c r="L25" s="218" t="n"/>
      <c r="M25" s="218" t="n"/>
      <c r="N25" s="218" t="n"/>
      <c r="O25" s="218" t="n"/>
      <c r="P25" s="219" t="n"/>
      <c r="Q25" s="129" t="n"/>
      <c r="R25" s="129" t="n"/>
      <c r="S25" s="129" t="n"/>
      <c r="T25" s="129" t="n"/>
      <c r="U25" s="129" t="n"/>
      <c r="V25" s="129" t="n"/>
      <c r="W25" s="129" t="n"/>
      <c r="X25" s="129" t="n"/>
      <c r="Y25" s="129" t="n"/>
      <c r="Z25" s="129" t="n"/>
      <c r="AA25" s="129" t="n"/>
      <c r="AB25" s="129" t="n"/>
      <c r="AC25" s="129" t="n"/>
      <c r="AD25" s="129" t="n"/>
      <c r="AE25" s="129" t="n"/>
      <c r="AF25" s="129" t="n"/>
      <c r="AG25" s="129" t="n"/>
      <c r="AH25" s="129" t="n"/>
      <c r="AI25" s="129" t="n"/>
      <c r="AJ25" s="129" t="n"/>
      <c r="AK25" s="129" t="n"/>
    </row>
    <row r="26">
      <c r="A26" s="127" t="inlineStr">
        <is>
          <t>Wearables, Home and Accessories: Implied FY2025 Units (M)</t>
        </is>
      </c>
      <c r="B26" s="167">
        <f>B25/Drivers!$C$21</f>
        <v>216.278787878788</v>
      </c>
      <c r="C26" s="154" t="inlineStr">
        <is>
          <t>FY2025 anchor revenue divided by Drivers!C21 (Historical Reference ASP/ARPU $; not scenario-dependent).</t>
        </is>
      </c>
      <c r="D26" s="218" t="n"/>
      <c r="E26" s="218" t="n"/>
      <c r="F26" s="218" t="n"/>
      <c r="G26" s="218" t="n"/>
      <c r="H26" s="218" t="n"/>
      <c r="I26" s="218" t="n"/>
      <c r="J26" s="218" t="n"/>
      <c r="K26" s="218" t="n"/>
      <c r="L26" s="218" t="n"/>
      <c r="M26" s="218" t="n"/>
      <c r="N26" s="218" t="n"/>
      <c r="O26" s="218" t="n"/>
      <c r="P26" s="219" t="n"/>
      <c r="Q26" s="129" t="n"/>
      <c r="R26" s="129" t="n"/>
      <c r="S26" s="129" t="n"/>
      <c r="T26" s="129" t="n"/>
      <c r="U26" s="129" t="n"/>
      <c r="V26" s="129" t="n"/>
      <c r="W26" s="129" t="n"/>
      <c r="X26" s="129" t="n"/>
      <c r="Y26" s="129" t="n"/>
      <c r="Z26" s="129" t="n"/>
      <c r="AA26" s="129" t="n"/>
      <c r="AB26" s="129" t="n"/>
      <c r="AC26" s="129" t="n"/>
      <c r="AD26" s="129" t="n"/>
      <c r="AE26" s="129" t="n"/>
      <c r="AF26" s="129" t="n"/>
      <c r="AG26" s="129" t="n"/>
      <c r="AH26" s="129" t="n"/>
      <c r="AI26" s="129" t="n"/>
      <c r="AJ26" s="129" t="n"/>
      <c r="AK26" s="129" t="n"/>
    </row>
    <row r="27">
      <c r="A27" s="164" t="inlineStr">
        <is>
          <t>Wearables, Home and Accessories: FY2026 AOP Annual Revenue ($M)</t>
        </is>
      </c>
      <c r="B27" s="146">
        <f>B26*(1+Wearables_Home_and_Accessories_Units_Growth_Active)*Wearables_Home_and_Accessories_ASP_Active*(1+FX_Impact_Active)*(1+Mix_Impact_Active)</f>
        <v>35682.4314</v>
      </c>
      <c r="C27" s="154" t="inlineStr">
        <is>
          <t>Implied units/base x (1+Wearables_Home_and_Accessories_Units_Growth_Active) x Wearables_Home_and_Accessories_ASP_Active x (1+FX_Impact_Active) x (1+Mix_Impact_Active).</t>
        </is>
      </c>
      <c r="D27" s="218" t="n"/>
      <c r="E27" s="218" t="n"/>
      <c r="F27" s="218" t="n"/>
      <c r="G27" s="218" t="n"/>
      <c r="H27" s="218" t="n"/>
      <c r="I27" s="218" t="n"/>
      <c r="J27" s="218" t="n"/>
      <c r="K27" s="218" t="n"/>
      <c r="L27" s="218" t="n"/>
      <c r="M27" s="218" t="n"/>
      <c r="N27" s="218" t="n"/>
      <c r="O27" s="218" t="n"/>
      <c r="P27" s="219" t="n"/>
      <c r="Q27" s="129" t="n"/>
      <c r="R27" s="129" t="n"/>
      <c r="S27" s="129" t="n"/>
      <c r="T27" s="129" t="n"/>
      <c r="U27" s="129" t="n"/>
      <c r="V27" s="129" t="n"/>
      <c r="W27" s="129" t="n"/>
      <c r="X27" s="129" t="n"/>
      <c r="Y27" s="129" t="n"/>
      <c r="Z27" s="129" t="n"/>
      <c r="AA27" s="129" t="n"/>
      <c r="AB27" s="129" t="n"/>
      <c r="AC27" s="129" t="n"/>
      <c r="AD27" s="129" t="n"/>
      <c r="AE27" s="129" t="n"/>
      <c r="AF27" s="129" t="n"/>
      <c r="AG27" s="129" t="n"/>
      <c r="AH27" s="129" t="n"/>
      <c r="AI27" s="129" t="n"/>
      <c r="AJ27" s="129" t="n"/>
      <c r="AK27" s="129" t="n"/>
    </row>
    <row r="28">
      <c r="A28" s="127" t="inlineStr">
        <is>
          <t>Services: FY2025 Actual Revenue anchor ($M)</t>
        </is>
      </c>
      <c r="B28" s="166" t="n">
        <v>109158</v>
      </c>
      <c r="C28" s="154" t="inlineStr">
        <is>
          <t>Real FY2025 actual, sourced from 02 Historical Financial Database.xlsx Segment Detail tab (10-K disclosed).</t>
        </is>
      </c>
      <c r="D28" s="218" t="n"/>
      <c r="E28" s="218" t="n"/>
      <c r="F28" s="218" t="n"/>
      <c r="G28" s="218" t="n"/>
      <c r="H28" s="218" t="n"/>
      <c r="I28" s="218" t="n"/>
      <c r="J28" s="218" t="n"/>
      <c r="K28" s="218" t="n"/>
      <c r="L28" s="218" t="n"/>
      <c r="M28" s="218" t="n"/>
      <c r="N28" s="218" t="n"/>
      <c r="O28" s="218" t="n"/>
      <c r="P28" s="219" t="n"/>
      <c r="Q28" s="129" t="n"/>
      <c r="R28" s="129" t="n"/>
      <c r="S28" s="129" t="n"/>
      <c r="T28" s="129" t="n"/>
      <c r="U28" s="129" t="n"/>
      <c r="V28" s="129" t="n"/>
      <c r="W28" s="129" t="n"/>
      <c r="X28" s="129" t="n"/>
      <c r="Y28" s="129" t="n"/>
      <c r="Z28" s="129" t="n"/>
      <c r="AA28" s="129" t="n"/>
      <c r="AB28" s="129" t="n"/>
      <c r="AC28" s="129" t="n"/>
      <c r="AD28" s="129" t="n"/>
      <c r="AE28" s="129" t="n"/>
      <c r="AF28" s="129" t="n"/>
      <c r="AG28" s="129" t="n"/>
      <c r="AH28" s="129" t="n"/>
      <c r="AI28" s="129" t="n"/>
      <c r="AJ28" s="129" t="n"/>
      <c r="AK28" s="129" t="n"/>
    </row>
    <row r="29">
      <c r="A29" s="127" t="inlineStr">
        <is>
          <t>Services: Implied FY2025 Installed Base (M devices)</t>
        </is>
      </c>
      <c r="B29" s="167">
        <f>B28/Drivers!$C$26</f>
        <v>2350.01076426265</v>
      </c>
      <c r="C29" s="154" t="inlineStr">
        <is>
          <t>FY2025 anchor revenue divided by Drivers!C26 (Historical Reference ASP/ARPU $; not scenario-dependent).</t>
        </is>
      </c>
      <c r="D29" s="218" t="n"/>
      <c r="E29" s="218" t="n"/>
      <c r="F29" s="218" t="n"/>
      <c r="G29" s="218" t="n"/>
      <c r="H29" s="218" t="n"/>
      <c r="I29" s="218" t="n"/>
      <c r="J29" s="218" t="n"/>
      <c r="K29" s="218" t="n"/>
      <c r="L29" s="218" t="n"/>
      <c r="M29" s="218" t="n"/>
      <c r="N29" s="218" t="n"/>
      <c r="O29" s="218" t="n"/>
      <c r="P29" s="219" t="n"/>
      <c r="Q29" s="129" t="n"/>
      <c r="R29" s="129" t="n"/>
      <c r="S29" s="129" t="n"/>
      <c r="T29" s="129" t="n"/>
      <c r="U29" s="129" t="n"/>
      <c r="V29" s="129" t="n"/>
      <c r="W29" s="129" t="n"/>
      <c r="X29" s="129" t="n"/>
      <c r="Y29" s="129" t="n"/>
      <c r="Z29" s="129" t="n"/>
      <c r="AA29" s="129" t="n"/>
      <c r="AB29" s="129" t="n"/>
      <c r="AC29" s="129" t="n"/>
      <c r="AD29" s="129" t="n"/>
      <c r="AE29" s="129" t="n"/>
      <c r="AF29" s="129" t="n"/>
      <c r="AG29" s="129" t="n"/>
      <c r="AH29" s="129" t="n"/>
      <c r="AI29" s="129" t="n"/>
      <c r="AJ29" s="129" t="n"/>
      <c r="AK29" s="129" t="n"/>
    </row>
    <row r="30">
      <c r="A30" s="164" t="inlineStr">
        <is>
          <t>Services: FY2026 AOP Annual Revenue ($M)</t>
        </is>
      </c>
      <c r="B30" s="146">
        <f>B29*(1+Services_InstalledBase_Growth_Active)*Services_ARPU_Active*(1+FX_Impact_Active)*(1+Mix_Impact_Active)</f>
        <v>123212.0925</v>
      </c>
      <c r="C30" s="154" t="inlineStr">
        <is>
          <t>Implied units/base x (1+Services_InstalledBase_Growth_Active) x Services_ARPU_Active x (1+FX_Impact_Active) x (1+Mix_Impact_Active).</t>
        </is>
      </c>
      <c r="D30" s="218" t="n"/>
      <c r="E30" s="218" t="n"/>
      <c r="F30" s="218" t="n"/>
      <c r="G30" s="218" t="n"/>
      <c r="H30" s="218" t="n"/>
      <c r="I30" s="218" t="n"/>
      <c r="J30" s="218" t="n"/>
      <c r="K30" s="218" t="n"/>
      <c r="L30" s="218" t="n"/>
      <c r="M30" s="218" t="n"/>
      <c r="N30" s="218" t="n"/>
      <c r="O30" s="218" t="n"/>
      <c r="P30" s="219" t="n"/>
      <c r="Q30" s="129" t="n"/>
      <c r="R30" s="129" t="n"/>
      <c r="S30" s="129" t="n"/>
      <c r="T30" s="129" t="n"/>
      <c r="U30" s="129" t="n"/>
      <c r="V30" s="129" t="n"/>
      <c r="W30" s="129" t="n"/>
      <c r="X30" s="129" t="n"/>
      <c r="Y30" s="129" t="n"/>
      <c r="Z30" s="129" t="n"/>
      <c r="AA30" s="129" t="n"/>
      <c r="AB30" s="129" t="n"/>
      <c r="AC30" s="129" t="n"/>
      <c r="AD30" s="129" t="n"/>
      <c r="AE30" s="129" t="n"/>
      <c r="AF30" s="129" t="n"/>
      <c r="AG30" s="129" t="n"/>
      <c r="AH30" s="129" t="n"/>
      <c r="AI30" s="129" t="n"/>
      <c r="AJ30" s="129" t="n"/>
      <c r="AK30" s="129" t="n"/>
    </row>
    <row r="31">
      <c r="A31" s="164" t="inlineStr">
        <is>
          <t>Total FY2026 AOP Annual Revenue ($M)</t>
        </is>
      </c>
      <c r="B31" s="146">
        <f>B18+B21+B24+B27+B30</f>
        <v>440364.13455</v>
      </c>
      <c r="C31" s="129" t="n"/>
      <c r="D31" s="129" t="n"/>
      <c r="E31" s="129" t="n"/>
      <c r="F31" s="129" t="n"/>
      <c r="G31" s="129" t="n"/>
      <c r="H31" s="129" t="n"/>
      <c r="I31" s="129" t="n"/>
      <c r="J31" s="129" t="n"/>
      <c r="K31" s="129" t="n"/>
      <c r="L31" s="129" t="n"/>
      <c r="M31" s="129" t="n"/>
      <c r="N31" s="129" t="n"/>
      <c r="O31" s="129" t="n"/>
      <c r="P31" s="129" t="n"/>
      <c r="Q31" s="129" t="n"/>
      <c r="R31" s="129" t="n"/>
      <c r="S31" s="129" t="n"/>
      <c r="T31" s="129" t="n"/>
      <c r="U31" s="129" t="n"/>
      <c r="V31" s="129" t="n"/>
      <c r="W31" s="129" t="n"/>
      <c r="X31" s="129" t="n"/>
      <c r="Y31" s="129" t="n"/>
      <c r="Z31" s="129" t="n"/>
      <c r="AA31" s="129" t="n"/>
      <c r="AB31" s="129" t="n"/>
      <c r="AC31" s="129" t="n"/>
      <c r="AD31" s="129" t="n"/>
      <c r="AE31" s="129" t="n"/>
      <c r="AF31" s="129" t="n"/>
      <c r="AG31" s="129" t="n"/>
      <c r="AH31" s="129" t="n"/>
      <c r="AI31" s="129" t="n"/>
      <c r="AJ31" s="129" t="n"/>
      <c r="AK31" s="129" t="n"/>
    </row>
    <row r="32">
      <c r="A32" s="129" t="n"/>
      <c r="B32" s="129" t="n"/>
      <c r="C32" s="129" t="n"/>
      <c r="D32" s="129" t="n"/>
      <c r="E32" s="129" t="n"/>
      <c r="F32" s="129" t="n"/>
      <c r="G32" s="129" t="n"/>
      <c r="H32" s="129" t="n"/>
      <c r="I32" s="129" t="n"/>
      <c r="J32" s="129" t="n"/>
      <c r="K32" s="129" t="n"/>
      <c r="L32" s="129" t="n"/>
      <c r="M32" s="129" t="n"/>
      <c r="N32" s="129" t="n"/>
      <c r="O32" s="129" t="n"/>
      <c r="P32" s="129" t="n"/>
      <c r="Q32" s="129" t="n"/>
      <c r="R32" s="129" t="n"/>
      <c r="S32" s="129" t="n"/>
      <c r="T32" s="129" t="n"/>
      <c r="U32" s="129" t="n"/>
      <c r="V32" s="129" t="n"/>
      <c r="W32" s="129" t="n"/>
      <c r="X32" s="129" t="n"/>
      <c r="Y32" s="129" t="n"/>
      <c r="Z32" s="129" t="n"/>
      <c r="AA32" s="129" t="n"/>
      <c r="AB32" s="129" t="n"/>
      <c r="AC32" s="129" t="n"/>
      <c r="AD32" s="129" t="n"/>
      <c r="AE32" s="129" t="n"/>
      <c r="AF32" s="129" t="n"/>
      <c r="AG32" s="129" t="n"/>
      <c r="AH32" s="129" t="n"/>
      <c r="AI32" s="129" t="n"/>
      <c r="AJ32" s="129" t="n"/>
      <c r="AK32" s="129" t="n"/>
    </row>
    <row r="33" ht="16" customHeight="1">
      <c r="A33" s="138" t="inlineStr">
        <is>
          <t>INCOME STATEMENT</t>
        </is>
      </c>
      <c r="B33" s="218" t="n"/>
      <c r="C33" s="218" t="n"/>
      <c r="D33" s="218" t="n"/>
      <c r="E33" s="218" t="n"/>
      <c r="F33" s="218" t="n"/>
      <c r="G33" s="218" t="n"/>
      <c r="H33" s="218" t="n"/>
      <c r="I33" s="218" t="n"/>
      <c r="J33" s="218" t="n"/>
      <c r="K33" s="218" t="n"/>
      <c r="L33" s="218" t="n"/>
      <c r="M33" s="218" t="n"/>
      <c r="N33" s="218" t="n"/>
      <c r="O33" s="218" t="n"/>
      <c r="P33" s="219" t="n"/>
      <c r="Q33" s="129" t="n"/>
      <c r="R33" s="129" t="n"/>
      <c r="S33" s="129" t="n"/>
      <c r="T33" s="129" t="n"/>
      <c r="U33" s="129" t="n"/>
      <c r="V33" s="129" t="n"/>
      <c r="W33" s="129" t="n"/>
      <c r="X33" s="129" t="n"/>
      <c r="Y33" s="129" t="n"/>
      <c r="Z33" s="129" t="n"/>
      <c r="AA33" s="129" t="n"/>
      <c r="AB33" s="129" t="n"/>
      <c r="AC33" s="129" t="n"/>
      <c r="AD33" s="129" t="n"/>
      <c r="AE33" s="129" t="n"/>
      <c r="AF33" s="129" t="n"/>
      <c r="AG33" s="129" t="n"/>
      <c r="AH33" s="129" t="n"/>
      <c r="AI33" s="129" t="n"/>
      <c r="AJ33" s="129" t="n"/>
      <c r="AK33" s="129" t="n"/>
    </row>
    <row r="34">
      <c r="A34" s="168" t="str">
        <f>A6</f>
        <v>Line Item</v>
      </c>
      <c r="B34" s="168" t="str">
        <f>B6</f>
        <v>FY24 Q1</v>
      </c>
      <c r="C34" s="168" t="str">
        <f>C6</f>
        <v>FY24 Q2</v>
      </c>
      <c r="D34" s="168" t="str">
        <f>D6</f>
        <v>FY24 Q3</v>
      </c>
      <c r="E34" s="168" t="str">
        <f>E6</f>
        <v>FY24 Q4</v>
      </c>
      <c r="F34" s="168" t="str">
        <f>F6</f>
        <v>FY25 Q1</v>
      </c>
      <c r="G34" s="168" t="str">
        <f>G6</f>
        <v>FY25 Q2</v>
      </c>
      <c r="H34" s="168" t="str">
        <f>H6</f>
        <v>FY25 Q3</v>
      </c>
      <c r="I34" s="168" t="str">
        <f>I6</f>
        <v>FY25 Q4</v>
      </c>
      <c r="J34" s="168" t="str">
        <f>J6</f>
        <v>FY26 Q1 (Actual)</v>
      </c>
      <c r="K34" s="168" t="str">
        <f>K6</f>
        <v>FY26 Q2 (Actual)</v>
      </c>
      <c r="L34" s="168" t="str">
        <f>L6</f>
        <v>Q1 -- FY2026 Approved AOP</v>
      </c>
      <c r="M34" s="168" t="str">
        <f>M6</f>
        <v>Q2 -- FY2026 Approved AOP</v>
      </c>
      <c r="N34" s="168" t="str">
        <f>N6</f>
        <v>Q3 -- FY2026 Approved AOP</v>
      </c>
      <c r="O34" s="168" t="str">
        <f>O6</f>
        <v>Q4 -- FY2026 Approved AOP</v>
      </c>
      <c r="P34" s="168" t="str">
        <f>P6</f>
        <v>FY26 Total -- FY2026 Approved AOP</v>
      </c>
      <c r="Q34" s="168" t="str">
        <f>Q6</f>
        <v>Q1 FY2026 Actual</v>
      </c>
      <c r="R34" s="168" t="str">
        <f>R6</f>
        <v>Q1 vs AOP Variance ($)</v>
      </c>
      <c r="S34" s="168" t="str">
        <f>S6</f>
        <v>Q1 vs AOP Variance (%)</v>
      </c>
      <c r="T34" s="168" t="str">
        <f>T6</f>
        <v>Q2 -- Q1 Forecast Update</v>
      </c>
      <c r="U34" s="168" t="str">
        <f>U6</f>
        <v>Q3 -- Q1 Forecast Update</v>
      </c>
      <c r="V34" s="168" t="str">
        <f>V6</f>
        <v>Q4 -- Q1 Forecast Update</v>
      </c>
      <c r="W34" s="168" t="str">
        <f>W6</f>
        <v>FY26 Total -- Q1 Forecast Update</v>
      </c>
      <c r="X34" s="168" t="str">
        <f>X6</f>
        <v>Notes -- Q1 Forecast Update Rationale</v>
      </c>
      <c r="Y34" s="168" t="str">
        <f>Y6</f>
        <v>Q2 FY2026 Actual</v>
      </c>
      <c r="Z34" s="168" t="str">
        <f>Z6</f>
        <v>Q2 vs Q1 FU Variance ($)</v>
      </c>
      <c r="AA34" s="168" t="str">
        <f>AA6</f>
        <v>Q2 vs Q1 FU Variance (%)</v>
      </c>
      <c r="AB34" s="168" t="str">
        <f>AB6</f>
        <v>Q3 -- Q3 Reforecast</v>
      </c>
      <c r="AC34" s="168" t="str">
        <f>AC6</f>
        <v>Q4 -- Q3 Reforecast</v>
      </c>
      <c r="AD34" s="168" t="str">
        <f>AD6</f>
        <v>FY26 Total -- Q3 Reforecast</v>
      </c>
      <c r="AE34" s="168" t="str">
        <f>AE6</f>
        <v>Notes -- Q3 Reforecast Rationale</v>
      </c>
      <c r="AF34" s="168" t="str">
        <f>AF6</f>
        <v>Q1 -- FY2027 AOP</v>
      </c>
      <c r="AG34" s="168" t="str">
        <f>AG6</f>
        <v>Q2 -- FY2027 AOP</v>
      </c>
      <c r="AH34" s="168" t="str">
        <f>AH6</f>
        <v>Q3 -- FY2027 AOP</v>
      </c>
      <c r="AI34" s="168" t="str">
        <f>AI6</f>
        <v>Q4 -- FY2027 AOP</v>
      </c>
      <c r="AJ34" s="168" t="str">
        <f>AJ6</f>
        <v>FY27 Total -- FY2027 AOP</v>
      </c>
      <c r="AK34" s="168" t="str">
        <f>AK6</f>
        <v>Notes -- FY2027 AOP Rationale</v>
      </c>
    </row>
    <row r="35">
      <c r="A35" s="127" t="inlineStr">
        <is>
          <t>iPhone Revenue ($M)</t>
        </is>
      </c>
      <c r="B35" s="169" t="inlineStr">
        <is>
          <t>n/a</t>
        </is>
      </c>
      <c r="C35" s="169" t="inlineStr">
        <is>
          <t>n/a</t>
        </is>
      </c>
      <c r="D35" s="170" t="inlineStr">
        <is>
          <t>n/a</t>
        </is>
      </c>
      <c r="E35" s="170" t="inlineStr">
        <is>
          <t>n/a</t>
        </is>
      </c>
      <c r="F35" s="170" t="inlineStr">
        <is>
          <t>n/a</t>
        </is>
      </c>
      <c r="G35" s="170" t="inlineStr">
        <is>
          <t>n/a</t>
        </is>
      </c>
      <c r="H35" s="170" t="inlineStr">
        <is>
          <t>n/a</t>
        </is>
      </c>
      <c r="I35" s="170" t="inlineStr">
        <is>
          <t>n/a</t>
        </is>
      </c>
      <c r="J35" s="170" t="inlineStr">
        <is>
          <t>n/a</t>
        </is>
      </c>
      <c r="K35" s="170" t="inlineStr">
        <is>
          <t>n/a</t>
        </is>
      </c>
      <c r="L35" s="146">
        <f>$B$18*$B$12</f>
        <v>65580.6580365662</v>
      </c>
      <c r="M35" s="146">
        <f>$B$18*$C$12</f>
        <v>50039.1780583987</v>
      </c>
      <c r="N35" s="146">
        <f>$B$18*$D$12</f>
        <v>48313.6898267264</v>
      </c>
      <c r="O35" s="146">
        <f>$B$18*$E$12</f>
        <v>53050.8598783087</v>
      </c>
      <c r="P35" s="146">
        <f>SUM(L35:O35)</f>
        <v>216984.3858</v>
      </c>
      <c r="Q35" s="146" t="str">
        <f>J35</f>
        <v>n/a</v>
      </c>
      <c r="R35" s="170" t="inlineStr">
        <is>
          <t>n/a</t>
        </is>
      </c>
      <c r="S35" s="170" t="inlineStr">
        <is>
          <t>n/a</t>
        </is>
      </c>
      <c r="T35" s="146">
        <f>$B$73*$C$12</f>
        <v>51250.6895613631</v>
      </c>
      <c r="U35" s="146">
        <f>$B$73*$D$12</f>
        <v>49483.4250871141</v>
      </c>
      <c r="V35" s="146">
        <f>$B$73*$E$12</f>
        <v>54335.2879900117</v>
      </c>
      <c r="W35" s="146">
        <f>SUM(Q35,T35:V35)</f>
        <v>155069.402638489</v>
      </c>
      <c r="X35" s="129" t="n"/>
      <c r="Y35" s="146" t="str">
        <f>K35</f>
        <v>n/a</v>
      </c>
      <c r="Z35" s="170" t="inlineStr">
        <is>
          <t>n/a</t>
        </is>
      </c>
      <c r="AA35" s="170" t="inlineStr">
        <is>
          <t>n/a</t>
        </is>
      </c>
      <c r="AB35" s="146">
        <f>$B$94*$D$12</f>
        <v>50270.2943131807</v>
      </c>
      <c r="AC35" s="146">
        <f>$B$94*$E$12</f>
        <v>55199.3099515783</v>
      </c>
      <c r="AD35" s="146">
        <f>SUM(Q35,Y35,AB35:AC35)</f>
        <v>105469.604264759</v>
      </c>
      <c r="AE35" s="129" t="n"/>
      <c r="AF35" s="146">
        <f>$B$109*$B$12</f>
        <v>69260.0870987589</v>
      </c>
      <c r="AG35" s="146">
        <f>$B$109*$C$12</f>
        <v>52846.6461672678</v>
      </c>
      <c r="AH35" s="146">
        <f>$B$109*$D$12</f>
        <v>51024.3487278784</v>
      </c>
      <c r="AI35" s="146">
        <f>$B$109*$E$12</f>
        <v>56027.299600852</v>
      </c>
      <c r="AJ35" s="146">
        <f>SUM(AF35:AI35)</f>
        <v>229158.381594757</v>
      </c>
      <c r="AK35" s="129" t="n"/>
    </row>
    <row r="36">
      <c r="A36" s="127" t="inlineStr">
        <is>
          <t>Mac Revenue ($M)</t>
        </is>
      </c>
      <c r="B36" s="169" t="inlineStr">
        <is>
          <t>n/a</t>
        </is>
      </c>
      <c r="C36" s="169" t="inlineStr">
        <is>
          <t>n/a</t>
        </is>
      </c>
      <c r="D36" s="170" t="inlineStr">
        <is>
          <t>n/a</t>
        </is>
      </c>
      <c r="E36" s="170" t="inlineStr">
        <is>
          <t>n/a</t>
        </is>
      </c>
      <c r="F36" s="170" t="inlineStr">
        <is>
          <t>n/a</t>
        </is>
      </c>
      <c r="G36" s="170" t="inlineStr">
        <is>
          <t>n/a</t>
        </is>
      </c>
      <c r="H36" s="170" t="inlineStr">
        <is>
          <t>n/a</t>
        </is>
      </c>
      <c r="I36" s="170" t="inlineStr">
        <is>
          <t>n/a</t>
        </is>
      </c>
      <c r="J36" s="170" t="inlineStr">
        <is>
          <t>n/a</t>
        </is>
      </c>
      <c r="K36" s="170" t="inlineStr">
        <is>
          <t>n/a</t>
        </is>
      </c>
      <c r="L36" s="146">
        <f>$B$21*$B$12</f>
        <v>10807.2147955415</v>
      </c>
      <c r="M36" s="146">
        <f>$B$21*$C$12</f>
        <v>8246.09208965141</v>
      </c>
      <c r="N36" s="146">
        <f>$B$21*$D$12</f>
        <v>7961.74419645911</v>
      </c>
      <c r="O36" s="146">
        <f>$B$21*$E$12</f>
        <v>8742.39531834799</v>
      </c>
      <c r="P36" s="146">
        <f>SUM(L36:O36)</f>
        <v>35757.4464</v>
      </c>
      <c r="Q36" s="146" t="str">
        <f>J36</f>
        <v>n/a</v>
      </c>
      <c r="R36" s="170" t="inlineStr">
        <is>
          <t>n/a</t>
        </is>
      </c>
      <c r="S36" s="170" t="inlineStr">
        <is>
          <t>n/a</t>
        </is>
      </c>
      <c r="T36" s="146">
        <f>$B$74*$C$12</f>
        <v>8445.7403614407</v>
      </c>
      <c r="U36" s="146">
        <f>$B$74*$D$12</f>
        <v>8154.50804774405</v>
      </c>
      <c r="V36" s="146">
        <f>$B$74*$E$12</f>
        <v>8954.05971617801</v>
      </c>
      <c r="W36" s="146">
        <f>SUM(Q36,T36:V36)</f>
        <v>25554.3081253627</v>
      </c>
      <c r="X36" s="129" t="n"/>
      <c r="Y36" s="146" t="str">
        <f>K36</f>
        <v>n/a</v>
      </c>
      <c r="Z36" s="170" t="inlineStr">
        <is>
          <t>n/a</t>
        </is>
      </c>
      <c r="AA36" s="170" t="inlineStr">
        <is>
          <t>n/a</t>
        </is>
      </c>
      <c r="AB36" s="146">
        <f>$B$95*$D$12</f>
        <v>8284.17836513185</v>
      </c>
      <c r="AC36" s="146">
        <f>$B$95*$E$12</f>
        <v>9096.44424244349</v>
      </c>
      <c r="AD36" s="146">
        <f>SUM(Q36,Y36,AB36:AC36)</f>
        <v>17380.6226075753</v>
      </c>
      <c r="AE36" s="129" t="n"/>
      <c r="AF36" s="146">
        <f>$B$112*$B$12</f>
        <v>11694.680022228</v>
      </c>
      <c r="AG36" s="146">
        <f>$B$112*$C$12</f>
        <v>8923.24343012808</v>
      </c>
      <c r="AH36" s="146">
        <f>$B$112*$D$12</f>
        <v>8615.54549973712</v>
      </c>
      <c r="AI36" s="146">
        <f>$B$112*$E$12</f>
        <v>9460.30201214123</v>
      </c>
      <c r="AJ36" s="146">
        <f>SUM(AF36:AI36)</f>
        <v>38693.7709642344</v>
      </c>
      <c r="AK36" s="129" t="n"/>
    </row>
    <row r="37">
      <c r="A37" s="127" t="inlineStr">
        <is>
          <t>iPad Revenue ($M)</t>
        </is>
      </c>
      <c r="B37" s="169" t="inlineStr">
        <is>
          <t>n/a</t>
        </is>
      </c>
      <c r="C37" s="169" t="inlineStr">
        <is>
          <t>n/a</t>
        </is>
      </c>
      <c r="D37" s="170" t="inlineStr">
        <is>
          <t>n/a</t>
        </is>
      </c>
      <c r="E37" s="170" t="inlineStr">
        <is>
          <t>n/a</t>
        </is>
      </c>
      <c r="F37" s="170" t="inlineStr">
        <is>
          <t>n/a</t>
        </is>
      </c>
      <c r="G37" s="170" t="inlineStr">
        <is>
          <t>n/a</t>
        </is>
      </c>
      <c r="H37" s="170" t="inlineStr">
        <is>
          <t>n/a</t>
        </is>
      </c>
      <c r="I37" s="170" t="inlineStr">
        <is>
          <t>n/a</t>
        </is>
      </c>
      <c r="J37" s="170" t="inlineStr">
        <is>
          <t>n/a</t>
        </is>
      </c>
      <c r="K37" s="170" t="inlineStr">
        <is>
          <t>n/a</t>
        </is>
      </c>
      <c r="L37" s="146">
        <f>$B$24*$B$12</f>
        <v>8682.59072068072</v>
      </c>
      <c r="M37" s="146">
        <f>$B$24*$C$12</f>
        <v>6624.96711817215</v>
      </c>
      <c r="N37" s="146">
        <f>$B$24*$D$12</f>
        <v>6396.52006445993</v>
      </c>
      <c r="O37" s="146">
        <f>$B$24*$E$12</f>
        <v>7023.7005466872</v>
      </c>
      <c r="P37" s="146">
        <f>SUM(L37:O37)</f>
        <v>28727.77845</v>
      </c>
      <c r="Q37" s="146" t="str">
        <f>J37</f>
        <v>n/a</v>
      </c>
      <c r="R37" s="170" t="inlineStr">
        <is>
          <t>n/a</t>
        </is>
      </c>
      <c r="S37" s="170" t="inlineStr">
        <is>
          <t>n/a</t>
        </is>
      </c>
      <c r="T37" s="146">
        <f>$B$75*$C$12</f>
        <v>6785.36591331341</v>
      </c>
      <c r="U37" s="146">
        <f>$B$75*$D$12</f>
        <v>6551.38786880299</v>
      </c>
      <c r="V37" s="146">
        <f>$B$75*$E$12</f>
        <v>7193.75318016086</v>
      </c>
      <c r="W37" s="146">
        <f>SUM(Q37,T37:V37)</f>
        <v>20530.5069622773</v>
      </c>
      <c r="X37" s="129" t="n"/>
      <c r="Y37" s="146" t="str">
        <f>K37</f>
        <v>n/a</v>
      </c>
      <c r="Z37" s="170" t="inlineStr">
        <is>
          <t>n/a</t>
        </is>
      </c>
      <c r="AA37" s="170" t="inlineStr">
        <is>
          <t>n/a</t>
        </is>
      </c>
      <c r="AB37" s="146">
        <f>$B$96*$D$12</f>
        <v>6655.56589392779</v>
      </c>
      <c r="AC37" s="146">
        <f>$B$96*$E$12</f>
        <v>7308.14588817212</v>
      </c>
      <c r="AD37" s="146">
        <f>SUM(Q37,Y37,AB37:AC37)</f>
        <v>13963.7117820999</v>
      </c>
      <c r="AE37" s="129" t="n"/>
      <c r="AF37" s="146">
        <f>$B$115*$B$12</f>
        <v>9124.55985911761</v>
      </c>
      <c r="AG37" s="146">
        <f>$B$115*$C$12</f>
        <v>6962.19722651033</v>
      </c>
      <c r="AH37" s="146">
        <f>$B$115*$D$12</f>
        <v>6722.12155286707</v>
      </c>
      <c r="AI37" s="146">
        <f>$B$115*$E$12</f>
        <v>7381.22734705384</v>
      </c>
      <c r="AJ37" s="146">
        <f>SUM(AF37:AI37)</f>
        <v>30190.1059855488</v>
      </c>
      <c r="AK37" s="129" t="n"/>
    </row>
    <row r="38">
      <c r="A38" s="127" t="inlineStr">
        <is>
          <t>Wearables, Home and Accessories Revenue ($M)</t>
        </is>
      </c>
      <c r="B38" s="169" t="inlineStr">
        <is>
          <t>n/a</t>
        </is>
      </c>
      <c r="C38" s="169" t="inlineStr">
        <is>
          <t>n/a</t>
        </is>
      </c>
      <c r="D38" s="170" t="inlineStr">
        <is>
          <t>n/a</t>
        </is>
      </c>
      <c r="E38" s="170" t="inlineStr">
        <is>
          <t>n/a</t>
        </is>
      </c>
      <c r="F38" s="170" t="inlineStr">
        <is>
          <t>n/a</t>
        </is>
      </c>
      <c r="G38" s="170" t="inlineStr">
        <is>
          <t>n/a</t>
        </is>
      </c>
      <c r="H38" s="170" t="inlineStr">
        <is>
          <t>n/a</t>
        </is>
      </c>
      <c r="I38" s="170" t="inlineStr">
        <is>
          <t>n/a</t>
        </is>
      </c>
      <c r="J38" s="170" t="inlineStr">
        <is>
          <t>n/a</t>
        </is>
      </c>
      <c r="K38" s="170" t="inlineStr">
        <is>
          <t>n/a</t>
        </is>
      </c>
      <c r="L38" s="146">
        <f>$B$27*$B$12</f>
        <v>10784.5425048858</v>
      </c>
      <c r="M38" s="146">
        <f>$B$27*$C$12</f>
        <v>8228.7927391557</v>
      </c>
      <c r="N38" s="146">
        <f>$B$27*$D$12</f>
        <v>7945.04137506028</v>
      </c>
      <c r="O38" s="146">
        <f>$B$27*$E$12</f>
        <v>8724.05478089826</v>
      </c>
      <c r="P38" s="146">
        <f>SUM(L38:O38)</f>
        <v>35682.4314</v>
      </c>
      <c r="Q38" s="146" t="str">
        <f>J38</f>
        <v>n/a</v>
      </c>
      <c r="R38" s="170" t="inlineStr">
        <is>
          <t>n/a</t>
        </is>
      </c>
      <c r="S38" s="170" t="inlineStr">
        <is>
          <t>n/a</t>
        </is>
      </c>
      <c r="T38" s="146">
        <f>$B$76*$C$12</f>
        <v>8428.02217188862</v>
      </c>
      <c r="U38" s="146">
        <f>$B$76*$D$12</f>
        <v>8137.40083000935</v>
      </c>
      <c r="V38" s="146">
        <f>$B$76*$E$12</f>
        <v>8935.27513122484</v>
      </c>
      <c r="W38" s="146">
        <f>SUM(Q38,T38:V38)</f>
        <v>25500.6981331228</v>
      </c>
      <c r="X38" s="129" t="n"/>
      <c r="Y38" s="146" t="str">
        <f>K38</f>
        <v>n/a</v>
      </c>
      <c r="Z38" s="170" t="inlineStr">
        <is>
          <t>n/a</t>
        </is>
      </c>
      <c r="AA38" s="170" t="inlineStr">
        <is>
          <t>n/a</t>
        </is>
      </c>
      <c r="AB38" s="146">
        <f>$B$97*$D$12</f>
        <v>8266.79911402122</v>
      </c>
      <c r="AC38" s="146">
        <f>$B$97*$E$12</f>
        <v>9077.36095117002</v>
      </c>
      <c r="AD38" s="146">
        <f>SUM(Q38,Y38,AB38:AC38)</f>
        <v>17344.1600651912</v>
      </c>
      <c r="AE38" s="129" t="n"/>
      <c r="AF38" s="146">
        <f>$B$118*$B$12</f>
        <v>11109.0812235826</v>
      </c>
      <c r="AG38" s="146">
        <f>$B$118*$C$12</f>
        <v>8476.42140312334</v>
      </c>
      <c r="AH38" s="146">
        <f>$B$118*$D$12</f>
        <v>8184.13112288101</v>
      </c>
      <c r="AI38" s="146">
        <f>$B$118*$E$12</f>
        <v>8986.58734165832</v>
      </c>
      <c r="AJ38" s="146">
        <f>SUM(AF38:AI38)</f>
        <v>36756.2210912452</v>
      </c>
      <c r="AK38" s="129" t="n"/>
    </row>
    <row r="39">
      <c r="A39" s="164" t="inlineStr">
        <is>
          <t>Products Revenue Subtotal ($M)</t>
        </is>
      </c>
      <c r="B39" s="169" t="inlineStr">
        <is>
          <t>n/a</t>
        </is>
      </c>
      <c r="C39" s="169" t="inlineStr">
        <is>
          <t>n/a</t>
        </is>
      </c>
      <c r="D39" s="170" t="inlineStr">
        <is>
          <t>n/a</t>
        </is>
      </c>
      <c r="E39" s="170" t="inlineStr">
        <is>
          <t>n/a</t>
        </is>
      </c>
      <c r="F39" s="170" t="inlineStr">
        <is>
          <t>n/a</t>
        </is>
      </c>
      <c r="G39" s="170" t="inlineStr">
        <is>
          <t>n/a</t>
        </is>
      </c>
      <c r="H39" s="170" t="inlineStr">
        <is>
          <t>n/a</t>
        </is>
      </c>
      <c r="I39" s="170" t="inlineStr">
        <is>
          <t>n/a</t>
        </is>
      </c>
      <c r="J39" s="170" t="inlineStr">
        <is>
          <t>n/a</t>
        </is>
      </c>
      <c r="K39" s="170" t="inlineStr">
        <is>
          <t>n/a</t>
        </is>
      </c>
      <c r="L39" s="146">
        <f>SUM(L35:L38)</f>
        <v>95855.0060576742</v>
      </c>
      <c r="M39" s="146">
        <f>SUM(M35:M38)</f>
        <v>73139.030005378</v>
      </c>
      <c r="N39" s="146">
        <f>SUM(N35:N38)</f>
        <v>70616.9954627057</v>
      </c>
      <c r="O39" s="146">
        <f>SUM(O35:O38)</f>
        <v>77541.0105242421</v>
      </c>
      <c r="P39" s="146">
        <f>SUM(P35:P38)</f>
        <v>317152.04205</v>
      </c>
      <c r="Q39" s="171" t="str">
        <f>J39</f>
        <v>n/a</v>
      </c>
      <c r="R39" s="170" t="inlineStr">
        <is>
          <t>n/a</t>
        </is>
      </c>
      <c r="S39" s="170" t="inlineStr">
        <is>
          <t>n/a</t>
        </is>
      </c>
      <c r="T39" s="146">
        <f>SUM(T35:T38)</f>
        <v>74909.8180080058</v>
      </c>
      <c r="U39" s="146">
        <f>SUM(U35:U38)</f>
        <v>72326.7218336705</v>
      </c>
      <c r="V39" s="146">
        <f>SUM(V35:V38)</f>
        <v>79418.3760175754</v>
      </c>
      <c r="W39" s="171">
        <f>SUM(Q39,T39:V39)</f>
        <v>226654.915859252</v>
      </c>
      <c r="X39" s="129" t="n"/>
      <c r="Y39" s="171" t="str">
        <f>K39</f>
        <v>n/a</v>
      </c>
      <c r="Z39" s="170" t="inlineStr">
        <is>
          <t>n/a</t>
        </is>
      </c>
      <c r="AA39" s="170" t="inlineStr">
        <is>
          <t>n/a</t>
        </is>
      </c>
      <c r="AB39" s="146">
        <f>SUM(AB35:AB38)</f>
        <v>73476.8376862615</v>
      </c>
      <c r="AC39" s="146">
        <f>SUM(AC35:AC38)</f>
        <v>80681.2610333639</v>
      </c>
      <c r="AD39" s="171">
        <f>SUM(Q39,Y39,AB39:AC39)</f>
        <v>154158.098719625</v>
      </c>
      <c r="AE39" s="129" t="n"/>
      <c r="AF39" s="146">
        <f>SUM(AF35:AF38)</f>
        <v>101188.408203687</v>
      </c>
      <c r="AG39" s="146">
        <f>SUM(AG35:AG38)</f>
        <v>77208.5082270296</v>
      </c>
      <c r="AH39" s="146">
        <f>SUM(AH35:AH38)</f>
        <v>74546.1469033636</v>
      </c>
      <c r="AI39" s="146">
        <f>SUM(AI35:AI38)</f>
        <v>81855.4163017054</v>
      </c>
      <c r="AJ39" s="146">
        <f>SUM(AJ35:AJ38)</f>
        <v>334798.479635786</v>
      </c>
      <c r="AK39" s="129" t="n"/>
    </row>
    <row r="40">
      <c r="A40" s="127" t="inlineStr">
        <is>
          <t>Services Revenue ($M)</t>
        </is>
      </c>
      <c r="B40" s="169" t="inlineStr">
        <is>
          <t>n/a</t>
        </is>
      </c>
      <c r="C40" s="169" t="inlineStr">
        <is>
          <t>n/a</t>
        </is>
      </c>
      <c r="D40" s="170" t="inlineStr">
        <is>
          <t>n/a</t>
        </is>
      </c>
      <c r="E40" s="170" t="inlineStr">
        <is>
          <t>n/a</t>
        </is>
      </c>
      <c r="F40" s="170" t="inlineStr">
        <is>
          <t>n/a</t>
        </is>
      </c>
      <c r="G40" s="170" t="inlineStr">
        <is>
          <t>n/a</t>
        </is>
      </c>
      <c r="H40" s="170" t="inlineStr">
        <is>
          <t>n/a</t>
        </is>
      </c>
      <c r="I40" s="170" t="inlineStr">
        <is>
          <t>n/a</t>
        </is>
      </c>
      <c r="J40" s="170" t="inlineStr">
        <is>
          <t>n/a</t>
        </is>
      </c>
      <c r="K40" s="170" t="inlineStr">
        <is>
          <t>n/a</t>
        </is>
      </c>
      <c r="L40" s="146">
        <f>$B$30*$B$12</f>
        <v>37239.223801385</v>
      </c>
      <c r="M40" s="146">
        <f>$B$30*$C$12</f>
        <v>28414.1728116706</v>
      </c>
      <c r="N40" s="146">
        <f>$B$30*$D$12</f>
        <v>27434.3741278868</v>
      </c>
      <c r="O40" s="146">
        <f>$B$30*$E$12</f>
        <v>30124.3217590577</v>
      </c>
      <c r="P40" s="146">
        <f>SUM(L40:O40)</f>
        <v>123212.0925</v>
      </c>
      <c r="Q40" s="146" t="str">
        <f>J40</f>
        <v>n/a</v>
      </c>
      <c r="R40" s="170" t="inlineStr">
        <is>
          <t>n/a</t>
        </is>
      </c>
      <c r="S40" s="170" t="inlineStr">
        <is>
          <t>n/a</t>
        </is>
      </c>
      <c r="T40" s="146">
        <f>$B$77*$C$12</f>
        <v>29102.1157105004</v>
      </c>
      <c r="U40" s="146">
        <f>$B$77*$D$12</f>
        <v>28098.5948669599</v>
      </c>
      <c r="V40" s="146">
        <f>$B$77*$E$12</f>
        <v>30853.6695170785</v>
      </c>
      <c r="W40" s="146">
        <f>SUM(Q40,T40:V40)</f>
        <v>88054.3800945388</v>
      </c>
      <c r="X40" s="129" t="n"/>
      <c r="Y40" s="146" t="str">
        <f>K40</f>
        <v>n/a</v>
      </c>
      <c r="Z40" s="170" t="inlineStr">
        <is>
          <t>n/a</t>
        </is>
      </c>
      <c r="AA40" s="170" t="inlineStr">
        <is>
          <t>n/a</t>
        </is>
      </c>
      <c r="AB40" s="146">
        <f>$B$98*$D$12</f>
        <v>28545.4095237384</v>
      </c>
      <c r="AC40" s="146">
        <f>$B$98*$E$12</f>
        <v>31344.2944689988</v>
      </c>
      <c r="AD40" s="146">
        <f>SUM(Q40,Y40,AB40:AC40)</f>
        <v>59889.7039927372</v>
      </c>
      <c r="AE40" s="129" t="n"/>
      <c r="AF40" s="146">
        <f>$B$121*$B$12</f>
        <v>41653.3854740594</v>
      </c>
      <c r="AG40" s="146">
        <f>$B$121*$C$12</f>
        <v>31782.2546292449</v>
      </c>
      <c r="AH40" s="146">
        <f>$B$121*$D$12</f>
        <v>30686.3152380188</v>
      </c>
      <c r="AI40" s="146">
        <f>$B$121*$E$12</f>
        <v>33695.1165541737</v>
      </c>
      <c r="AJ40" s="146">
        <f>SUM(AF40:AI40)</f>
        <v>137817.071895497</v>
      </c>
      <c r="AK40" s="129" t="n"/>
    </row>
    <row r="41" ht="45" customHeight="1">
      <c r="A41" s="164" t="inlineStr">
        <is>
          <t>Net sales / Total Revenue ($M)</t>
        </is>
      </c>
      <c r="B41" s="166" t="n">
        <v>119575</v>
      </c>
      <c r="C41" s="166" t="n">
        <v>90753</v>
      </c>
      <c r="D41" s="166" t="n">
        <v>85777</v>
      </c>
      <c r="E41" s="166" t="n">
        <v>94930</v>
      </c>
      <c r="F41" s="166" t="n">
        <v>124300</v>
      </c>
      <c r="G41" s="166" t="n">
        <v>95359</v>
      </c>
      <c r="H41" s="166" t="n">
        <v>94036</v>
      </c>
      <c r="I41" s="166" t="n">
        <v>102466</v>
      </c>
      <c r="J41" s="166" t="n">
        <v>143756</v>
      </c>
      <c r="K41" s="166" t="n">
        <v>111184</v>
      </c>
      <c r="L41" s="171">
        <f>L39+L40</f>
        <v>133094.229859059</v>
      </c>
      <c r="M41" s="171">
        <f>M39+M40</f>
        <v>101553.202817049</v>
      </c>
      <c r="N41" s="171">
        <f>N39+N40</f>
        <v>98051.3695905925</v>
      </c>
      <c r="O41" s="171">
        <f>O39+O40</f>
        <v>107665.3322833</v>
      </c>
      <c r="P41" s="171">
        <f>P39+P40</f>
        <v>440364.13455</v>
      </c>
      <c r="Q41" s="171">
        <f>J41</f>
        <v>143756</v>
      </c>
      <c r="R41" s="146">
        <f>Q41-L41</f>
        <v>10661.7701409408</v>
      </c>
      <c r="S41" s="142">
        <f>R41/ABS(L41)</f>
        <v>0.0801069298964439</v>
      </c>
      <c r="T41" s="171">
        <f>T39+T40</f>
        <v>104011.933718506</v>
      </c>
      <c r="U41" s="171">
        <f>U39+U40</f>
        <v>100425.31670063</v>
      </c>
      <c r="V41" s="171">
        <f>V39+V40</f>
        <v>110272.045534654</v>
      </c>
      <c r="W41" s="171">
        <f>SUM(Q41,T41:V41)</f>
        <v>458465.29595379</v>
      </c>
      <c r="X41" s="143" t="inlineStr">
        <is>
          <t>Q2-Q4 FU revenue is built off each segment's AOP annual revenue grossed up by the Q1 blended revenue-growth-surprise factor (+~8.0%; see Driver Adjustment Log row 65 and Annual Build rows 73-78) -- carried forward because Q1 actual net sales materially beat the AOP Q1 assumption, rather than reverting to the original AOP units/ASP growth path for the rest of the year.</t>
        </is>
      </c>
      <c r="Y41" s="171">
        <f>K41</f>
        <v>111184</v>
      </c>
      <c r="Z41" s="146">
        <f>Y41-T41</f>
        <v>7172.06628149386</v>
      </c>
      <c r="AA41" s="142">
        <f>Z41/ABS(T41)</f>
        <v>0.0689542634684983</v>
      </c>
      <c r="AB41" s="171">
        <f>AB39+AB40</f>
        <v>102022.24721</v>
      </c>
      <c r="AC41" s="171">
        <f>AC39+AC40</f>
        <v>112025.555502363</v>
      </c>
      <c r="AD41" s="171">
        <f>SUM(Q41,Y41,AB41:AC41)</f>
        <v>468987.802712363</v>
      </c>
      <c r="AE41" s="143" t="inlineStr">
        <is>
          <t>Q3-Q4 Reforecast revenue is built off each segment's Q1 Forecast Update annual revenue grossed up by the Q2 blended revenue-growth-surprise factor (+~1.6% of Q1 FU Annual Total; see Driver Adjustment Log row 86 and Annual Build rows 94-98) -- carried forward because Q2 actual net sales materially beat the Q1 Forecast Update's own Q2 assumption, rather than reverting to the Q1 FU's unmodified Q3-Q4 path.</t>
        </is>
      </c>
      <c r="AF41" s="171">
        <f>AF39+AF40</f>
        <v>142841.793677747</v>
      </c>
      <c r="AG41" s="171">
        <f>AG39+AG40</f>
        <v>108990.762856274</v>
      </c>
      <c r="AH41" s="171">
        <f>AH39+AH40</f>
        <v>105232.462141382</v>
      </c>
      <c r="AI41" s="171">
        <f>AI39+AI40</f>
        <v>115550.532855879</v>
      </c>
      <c r="AJ41" s="171">
        <f>AJ39+AJ40</f>
        <v>472615.551531282</v>
      </c>
      <c r="AK41" s="143" t="inlineStr">
        <is>
          <t>FY2027 AOP revenue is built off each segment's FY2026 Exit Run-Rate Annualized Revenue (Q3 Reforecast's Q4 FY2026 revenue, col AC, de-seasonalized by dividing by the Q4 weight, row 12 col E -- rows 107-121), NOT a naive x4 (which would understate the anchor by assuming an even 25% quarterly share) and NOT the Q3 Reforecast's FY26 Total (which blends in the already-reported Q1/Q2 actuals), then grown one more year via Drivers Active Units/ASP/InstalledBase/ARPU/FX/Mix -- same formula shape as Task 12's original AOP build, one year later.</t>
        </is>
      </c>
    </row>
    <row r="42">
      <c r="A42" s="129" t="n"/>
      <c r="B42" s="129" t="n"/>
      <c r="C42" s="129" t="n"/>
      <c r="D42" s="129" t="n"/>
      <c r="E42" s="129" t="n"/>
      <c r="F42" s="129" t="n"/>
      <c r="G42" s="129" t="n"/>
      <c r="H42" s="129" t="n"/>
      <c r="I42" s="129" t="n"/>
      <c r="J42" s="129" t="n"/>
      <c r="K42" s="129" t="n"/>
      <c r="L42" s="129" t="n"/>
      <c r="M42" s="129" t="n"/>
      <c r="N42" s="129" t="n"/>
      <c r="O42" s="129" t="n"/>
      <c r="P42" s="129" t="n"/>
      <c r="Q42" s="129" t="n"/>
      <c r="R42" s="129" t="n"/>
      <c r="S42" s="129" t="n"/>
      <c r="T42" s="129" t="n"/>
      <c r="U42" s="129" t="n"/>
      <c r="V42" s="129" t="n"/>
      <c r="W42" s="129" t="n"/>
      <c r="X42" s="129" t="n"/>
      <c r="Y42" s="129" t="n"/>
      <c r="Z42" s="129" t="n"/>
      <c r="AA42" s="129" t="n"/>
      <c r="AB42" s="129" t="n"/>
      <c r="AC42" s="129" t="n"/>
      <c r="AD42" s="129" t="n"/>
      <c r="AE42" s="129" t="n"/>
      <c r="AF42" s="129" t="n"/>
      <c r="AG42" s="129" t="n"/>
      <c r="AH42" s="129" t="n"/>
      <c r="AI42" s="129" t="n"/>
      <c r="AJ42" s="129" t="n"/>
      <c r="AK42" s="129" t="n"/>
    </row>
    <row r="43">
      <c r="A43" s="127" t="inlineStr">
        <is>
          <t>Cost of sales ($M)</t>
        </is>
      </c>
      <c r="B43" s="166" t="n">
        <v>64720</v>
      </c>
      <c r="C43" s="166" t="n">
        <v>48482</v>
      </c>
      <c r="D43" s="166" t="n">
        <v>46099</v>
      </c>
      <c r="E43" s="166" t="n">
        <v>51051</v>
      </c>
      <c r="F43" s="166" t="n">
        <v>66025</v>
      </c>
      <c r="G43" s="166" t="n">
        <v>50492</v>
      </c>
      <c r="H43" s="166" t="n">
        <v>50318</v>
      </c>
      <c r="I43" s="166" t="n">
        <v>54125</v>
      </c>
      <c r="J43" s="166" t="n">
        <v>74525</v>
      </c>
      <c r="K43" s="166" t="n">
        <v>56403</v>
      </c>
      <c r="L43" s="146">
        <f>L41-L44</f>
        <v>69512.263647674</v>
      </c>
      <c r="M43" s="146">
        <f>M41-M44</f>
        <v>53039.0612422474</v>
      </c>
      <c r="N43" s="146">
        <f>N41-N44</f>
        <v>51210.1288028368</v>
      </c>
      <c r="O43" s="146">
        <f>O41-O44</f>
        <v>56231.2954612417</v>
      </c>
      <c r="P43" s="146">
        <f>SUM(L43:O43)</f>
        <v>229992.749154</v>
      </c>
      <c r="Q43" s="146">
        <f>J43</f>
        <v>74525</v>
      </c>
      <c r="R43" s="146">
        <f>Q43-L43</f>
        <v>5012.73635232596</v>
      </c>
      <c r="S43" s="142">
        <f>R43/ABS(L43)</f>
        <v>0.0721129781894779</v>
      </c>
      <c r="T43" s="146">
        <f>T41-T44</f>
        <v>54323.2036941162</v>
      </c>
      <c r="U43" s="146">
        <f>U41-U44</f>
        <v>52449.9904976176</v>
      </c>
      <c r="V43" s="146">
        <f>V41-V44</f>
        <v>57592.7259227567</v>
      </c>
      <c r="W43" s="146">
        <f>SUM(Q43,T43:V43)</f>
        <v>238890.920114491</v>
      </c>
      <c r="X43" s="129" t="n"/>
      <c r="Y43" s="146">
        <f>K43</f>
        <v>56403</v>
      </c>
      <c r="Z43" s="146">
        <f>Y43-T43</f>
        <v>2079.79630588377</v>
      </c>
      <c r="AA43" s="142">
        <f>Z43/ABS(T43)</f>
        <v>0.0382855973958147</v>
      </c>
      <c r="AB43" s="146">
        <f>AB41-AB44</f>
        <v>51755.295810419</v>
      </c>
      <c r="AC43" s="146">
        <f>AC41-AC44</f>
        <v>56829.9162379458</v>
      </c>
      <c r="AD43" s="146">
        <f>SUM(Q43,Y43,AB43:AC43)</f>
        <v>239513.212048365</v>
      </c>
      <c r="AE43" s="129" t="n"/>
      <c r="AF43" s="146">
        <f>AF41-AF44</f>
        <v>73953.7766094674</v>
      </c>
      <c r="AG43" s="146">
        <f>AG41-AG44</f>
        <v>56428.0125671936</v>
      </c>
      <c r="AH43" s="146">
        <f>AH41-AH44</f>
        <v>54482.2197824336</v>
      </c>
      <c r="AI43" s="146">
        <f>AI41-AI44</f>
        <v>59824.2158258469</v>
      </c>
      <c r="AJ43" s="146">
        <f>SUM(AF43:AI43)</f>
        <v>244688.224784942</v>
      </c>
      <c r="AK43" s="129" t="n"/>
    </row>
    <row r="44">
      <c r="A44" s="164" t="inlineStr">
        <is>
          <t>Gross margin ($M)</t>
        </is>
      </c>
      <c r="B44" s="166" t="n">
        <v>54855</v>
      </c>
      <c r="C44" s="166" t="n">
        <v>42271</v>
      </c>
      <c r="D44" s="166" t="n">
        <v>39678</v>
      </c>
      <c r="E44" s="166" t="n">
        <v>43879</v>
      </c>
      <c r="F44" s="166" t="n">
        <v>58275</v>
      </c>
      <c r="G44" s="166" t="n">
        <v>44867</v>
      </c>
      <c r="H44" s="166" t="n">
        <v>43718</v>
      </c>
      <c r="I44" s="166" t="n">
        <v>48341</v>
      </c>
      <c r="J44" s="166" t="n">
        <v>69231</v>
      </c>
      <c r="K44" s="166" t="n">
        <v>54781</v>
      </c>
      <c r="L44" s="146">
        <f>L39*Products_GM_Active+L40*Services_GM_Active</f>
        <v>63581.9662113851</v>
      </c>
      <c r="M44" s="146">
        <f>M39*Products_GM_Active+M40*Services_GM_Active</f>
        <v>48514.1415748011</v>
      </c>
      <c r="N44" s="146">
        <f>N39*Products_GM_Active+N40*Services_GM_Active</f>
        <v>46841.2407877556</v>
      </c>
      <c r="O44" s="146">
        <f>O39*Products_GM_Active+O40*Services_GM_Active</f>
        <v>51434.0368220581</v>
      </c>
      <c r="P44" s="146">
        <f>SUM(L44:O44)</f>
        <v>210371.385396</v>
      </c>
      <c r="Q44" s="171">
        <f>J44</f>
        <v>69231</v>
      </c>
      <c r="R44" s="146">
        <f>Q44-L44</f>
        <v>5649.03378861489</v>
      </c>
      <c r="S44" s="142">
        <f>R44/ABS(L44)</f>
        <v>0.0888464784155002</v>
      </c>
      <c r="T44" s="146">
        <f>T39*Products_GM_Active+T40*Services_GM_Active</f>
        <v>49688.7300243899</v>
      </c>
      <c r="U44" s="146">
        <f>U39*Products_GM_Active+U40*Services_GM_Active</f>
        <v>47975.3262030128</v>
      </c>
      <c r="V44" s="146">
        <f>V39*Products_GM_Active+V40*Services_GM_Active</f>
        <v>52679.3196118972</v>
      </c>
      <c r="W44" s="171">
        <f>SUM(Q44,T44:V44)</f>
        <v>219574.3758393</v>
      </c>
      <c r="X44" s="129" t="n"/>
      <c r="Y44" s="171">
        <f>K44</f>
        <v>54781</v>
      </c>
      <c r="Z44" s="146">
        <f>Y44-T44</f>
        <v>5092.26997561008</v>
      </c>
      <c r="AA44" s="142">
        <f>Z44/ABS(T44)</f>
        <v>0.102483399618194</v>
      </c>
      <c r="AB44" s="146">
        <f>AB41*$G$87</f>
        <v>50266.9513995809</v>
      </c>
      <c r="AC44" s="146">
        <f>AC41*$G$87</f>
        <v>55195.6392644169</v>
      </c>
      <c r="AD44" s="171">
        <f>SUM(Q44,Y44,AB44:AC44)</f>
        <v>229474.590663998</v>
      </c>
      <c r="AE44" s="129" t="n"/>
      <c r="AF44" s="146">
        <f>AF39*Products_GM_Active+AF40*Services_GM_Active</f>
        <v>68888.0170682791</v>
      </c>
      <c r="AG44" s="146">
        <f>AG39*Products_GM_Active+AG40*Services_GM_Active</f>
        <v>52562.7502890808</v>
      </c>
      <c r="AH44" s="146">
        <f>AH39*Products_GM_Active+AH40*Services_GM_Active</f>
        <v>50750.2423589487</v>
      </c>
      <c r="AI44" s="146">
        <f>AI39*Products_GM_Active+AI40*Services_GM_Active</f>
        <v>55726.3170300321</v>
      </c>
      <c r="AJ44" s="146">
        <f>SUM(AF44:AI44)</f>
        <v>227927.326746341</v>
      </c>
      <c r="AK44" s="129" t="n"/>
    </row>
    <row r="45" ht="45" customHeight="1">
      <c r="A45" s="127" t="inlineStr">
        <is>
          <t>Gross margin %</t>
        </is>
      </c>
      <c r="B45" s="142">
        <f>B44/B41</f>
        <v>0.458749738657746</v>
      </c>
      <c r="C45" s="142">
        <f>C44/C41</f>
        <v>0.465780745540092</v>
      </c>
      <c r="D45" s="142">
        <f>D44/D41</f>
        <v>0.462571551814589</v>
      </c>
      <c r="E45" s="142">
        <f>E44/E41</f>
        <v>0.462224797219004</v>
      </c>
      <c r="F45" s="142">
        <f>F44/F41</f>
        <v>0.468825422365245</v>
      </c>
      <c r="G45" s="142">
        <f>G44/G41</f>
        <v>0.470506192388762</v>
      </c>
      <c r="H45" s="142">
        <f>H44/H41</f>
        <v>0.464907056871836</v>
      </c>
      <c r="I45" s="142">
        <f>I44/I41</f>
        <v>0.471776003747585</v>
      </c>
      <c r="J45" s="142">
        <f>J44/J41</f>
        <v>0.481586855505162</v>
      </c>
      <c r="K45" s="142">
        <f>K44/K41</f>
        <v>0.492705785005037</v>
      </c>
      <c r="L45" s="142">
        <f>L44/L41</f>
        <v>0.477721432993118</v>
      </c>
      <c r="M45" s="142">
        <f>M44/M41</f>
        <v>0.477721432993118</v>
      </c>
      <c r="N45" s="142">
        <f>N44/N41</f>
        <v>0.477721432993117</v>
      </c>
      <c r="O45" s="142">
        <f>O44/O41</f>
        <v>0.477721432993118</v>
      </c>
      <c r="P45" s="142">
        <f>P44/P41</f>
        <v>0.477721432993118</v>
      </c>
      <c r="Q45" s="142">
        <f>J45</f>
        <v>0.481586855505162</v>
      </c>
      <c r="R45" s="142">
        <f>Q45-L45</f>
        <v>0.00386542251204397</v>
      </c>
      <c r="S45" s="170" t="inlineStr">
        <is>
          <t>n/a (pp diff shown at left)</t>
        </is>
      </c>
      <c r="T45" s="142">
        <f>T44/T41</f>
        <v>0.477721432993118</v>
      </c>
      <c r="U45" s="142">
        <f>U44/U41</f>
        <v>0.477721432993118</v>
      </c>
      <c r="V45" s="142">
        <f>V44/V41</f>
        <v>0.477721432993117</v>
      </c>
      <c r="W45" s="142">
        <f>SUM(Q45,T45:V45)</f>
        <v>1.91475115448451</v>
      </c>
      <c r="X45" s="143" t="inlineStr">
        <is>
          <t>Unchanged from AOP -- Q1 GM% variance was immaterial (+0.8% relative, below the 3% threshold; row 66). Q2-Q4 FU still uses Products_GM_Active / Services_GM_Active exactly as the AOP did.</t>
        </is>
      </c>
      <c r="Y45" s="142">
        <f>K45</f>
        <v>0.492705785005037</v>
      </c>
      <c r="Z45" s="142">
        <f>Y45-T45</f>
        <v>0.0149843520119192</v>
      </c>
      <c r="AA45" s="170" t="inlineStr">
        <is>
          <t>n/a (pp diff shown at left)</t>
        </is>
      </c>
      <c r="AB45" s="142">
        <f>AB44/AB41</f>
        <v>0.492705785005037</v>
      </c>
      <c r="AC45" s="142">
        <f>AC44/AC41</f>
        <v>0.492705785005037</v>
      </c>
      <c r="AD45" s="142">
        <f>SUM(Q45,Y45,AB45:AC45)</f>
        <v>1.95970421052027</v>
      </c>
      <c r="AE45" s="143" t="inlineStr">
        <is>
          <t>Q3-Q4 Reforecast GM% uses the Q2 actual blended GM% (~49.3%), not the Q1 Forecast Update's own Q2 assumption (~47.8%, itself Products_GM_Active/Services_GM_Active-based) -- a +3.1% relative variance, just above the 3% threshold (row 87); a borderline call, flagged explicitly in the log rationale.</t>
        </is>
      </c>
      <c r="AF45" s="142">
        <f>AF44/AF41</f>
        <v>0.482267936397464</v>
      </c>
      <c r="AG45" s="142">
        <f>AG44/AG41</f>
        <v>0.482267936397464</v>
      </c>
      <c r="AH45" s="142">
        <f>AH44/AH41</f>
        <v>0.482267936397464</v>
      </c>
      <c r="AI45" s="142">
        <f>AI44/AI41</f>
        <v>0.482267936397464</v>
      </c>
      <c r="AJ45" s="142">
        <f>AJ44/AJ41</f>
        <v>0.482267936397464</v>
      </c>
      <c r="AK45" s="143" t="inlineStr">
        <is>
          <t>Uses Drivers!Products_GM_Active / Services_GM_Active directly (NOT the Q3 Reforecast's Q2-actual-pinned GM% override, row 87) -- FY2027 is a fresh forward plan, not a reforecast of FY2026 execution reality.</t>
        </is>
      </c>
    </row>
    <row r="46">
      <c r="A46" s="129" t="n"/>
      <c r="B46" s="129" t="n"/>
      <c r="C46" s="129" t="n"/>
      <c r="D46" s="129" t="n"/>
      <c r="E46" s="129" t="n"/>
      <c r="F46" s="129" t="n"/>
      <c r="G46" s="129" t="n"/>
      <c r="H46" s="129" t="n"/>
      <c r="I46" s="129" t="n"/>
      <c r="J46" s="129" t="n"/>
      <c r="K46" s="129" t="n"/>
      <c r="L46" s="129" t="n"/>
      <c r="M46" s="129" t="n"/>
      <c r="N46" s="129" t="n"/>
      <c r="O46" s="129" t="n"/>
      <c r="P46" s="129" t="n"/>
      <c r="Q46" s="129" t="n"/>
      <c r="R46" s="129" t="n"/>
      <c r="S46" s="129" t="n"/>
      <c r="T46" s="129" t="n"/>
      <c r="U46" s="129" t="n"/>
      <c r="V46" s="129" t="n"/>
      <c r="W46" s="129" t="n"/>
      <c r="X46" s="129" t="n"/>
      <c r="Y46" s="129" t="n"/>
      <c r="Z46" s="129" t="n"/>
      <c r="AA46" s="129" t="n"/>
      <c r="AB46" s="129" t="n"/>
      <c r="AC46" s="129" t="n"/>
      <c r="AD46" s="129" t="n"/>
      <c r="AE46" s="129" t="n"/>
      <c r="AF46" s="129" t="n"/>
      <c r="AG46" s="129" t="n"/>
      <c r="AH46" s="129" t="n"/>
      <c r="AI46" s="129" t="n"/>
      <c r="AJ46" s="129" t="n"/>
      <c r="AK46" s="129" t="n"/>
    </row>
    <row r="47" ht="45" customHeight="1">
      <c r="A47" s="127" t="inlineStr">
        <is>
          <t>Research and development ($M)</t>
        </is>
      </c>
      <c r="B47" s="166" t="n">
        <v>7696</v>
      </c>
      <c r="C47" s="166" t="n">
        <v>7903</v>
      </c>
      <c r="D47" s="166" t="n">
        <v>8006</v>
      </c>
      <c r="E47" s="166" t="n">
        <v>7765</v>
      </c>
      <c r="F47" s="166" t="n">
        <v>8268</v>
      </c>
      <c r="G47" s="166" t="n">
        <v>8550</v>
      </c>
      <c r="H47" s="166" t="n">
        <v>8866</v>
      </c>
      <c r="I47" s="166" t="n">
        <v>8866</v>
      </c>
      <c r="J47" s="166" t="n">
        <v>10887</v>
      </c>
      <c r="K47" s="166" t="n">
        <v>11419</v>
      </c>
      <c r="L47" s="146">
        <f>L41*RD_Pct_Rev_Active</f>
        <v>11046.8210783019</v>
      </c>
      <c r="M47" s="146">
        <f>M41*RD_Pct_Rev_Active</f>
        <v>8428.91583381503</v>
      </c>
      <c r="N47" s="146">
        <f>N41*RD_Pct_Rev_Active</f>
        <v>8138.26367601917</v>
      </c>
      <c r="O47" s="146">
        <f>O41*RD_Pct_Rev_Active</f>
        <v>8936.22257951388</v>
      </c>
      <c r="P47" s="146">
        <f>SUM(L47:O47)</f>
        <v>36550.22316765</v>
      </c>
      <c r="Q47" s="146">
        <f>J47</f>
        <v>10887</v>
      </c>
      <c r="R47" s="146">
        <f>Q47-L47</f>
        <v>-159.821078301909</v>
      </c>
      <c r="S47" s="142">
        <f>R47/ABS(L47)</f>
        <v>-0.0144676081172193</v>
      </c>
      <c r="T47" s="146">
        <f>T41*$G$67</f>
        <v>7877.0828514523</v>
      </c>
      <c r="U47" s="146">
        <f>U41*$G$67</f>
        <v>7605.45940983168</v>
      </c>
      <c r="V47" s="146">
        <f>V41*$G$67</f>
        <v>8351.17671426429</v>
      </c>
      <c r="W47" s="146">
        <f>Q47+T47+U47+V47</f>
        <v>34720.7189755483</v>
      </c>
      <c r="X47" s="143" t="inlineStr">
        <is>
          <t>Q2-Q4 FU R&amp;D uses the Q1 actual R&amp;D-to-revenue ratio (~7.6%), not the AOP's Drivers!RD_Pct_Rev_Active assumption (8.3%) -- a -8.8% relative variance, above threshold (row 67).</t>
        </is>
      </c>
      <c r="Y47" s="146">
        <f>K47</f>
        <v>11419</v>
      </c>
      <c r="Z47" s="146">
        <f>Y47-T47</f>
        <v>3541.9171485477</v>
      </c>
      <c r="AA47" s="142">
        <f>Z47/ABS(T47)</f>
        <v>0.449648329888352</v>
      </c>
      <c r="AB47" s="146">
        <f>AB41*$G$88</f>
        <v>10478.0547640937</v>
      </c>
      <c r="AC47" s="146">
        <f>AC41*$G$88</f>
        <v>11505.4308019273</v>
      </c>
      <c r="AD47" s="146">
        <f>Q47+Y47+AB47+AC47</f>
        <v>44289.4855660209</v>
      </c>
      <c r="AE47" s="143" t="inlineStr">
        <is>
          <t>Q3-Q4 Reforecast R&amp;D uses the Q2 actual R&amp;D-to-revenue ratio (~10.3%), not the Q1 Forecast Update's own Q2 assumption (~7.6%, itself pinned to Q1's unusually low ratio) -- a +35.6% relative variance, far above threshold (row 88). Reads as a reversion off an unusually light Q1.</t>
        </is>
      </c>
      <c r="AF47" s="146">
        <f>AF41*RD_Pct_Rev_Active</f>
        <v>11855.868875253</v>
      </c>
      <c r="AG47" s="146">
        <f>AG41*RD_Pct_Rev_Active</f>
        <v>9046.23331707078</v>
      </c>
      <c r="AH47" s="146">
        <f>AH41*RD_Pct_Rev_Active</f>
        <v>8734.29435773473</v>
      </c>
      <c r="AI47" s="146">
        <f>AI41*RD_Pct_Rev_Active</f>
        <v>9590.69422703796</v>
      </c>
      <c r="AJ47" s="146">
        <f>SUM(AF47:AI47)</f>
        <v>39227.0907770964</v>
      </c>
      <c r="AK47" s="143" t="inlineStr">
        <is>
          <t>Uses Drivers!RD_Pct_Rev_Active directly (NOT the Q3 Reforecast's Q2-actual-pinned R&amp;D% override, row 88) -- same reasoning as GM% above.</t>
        </is>
      </c>
    </row>
    <row r="48" ht="45" customHeight="1">
      <c r="A48" s="127" t="inlineStr">
        <is>
          <t>Selling, general and administrative ($M)</t>
        </is>
      </c>
      <c r="B48" s="166" t="n">
        <v>6786</v>
      </c>
      <c r="C48" s="166" t="n">
        <v>6468</v>
      </c>
      <c r="D48" s="166" t="n">
        <v>6320</v>
      </c>
      <c r="E48" s="166" t="n">
        <v>6523</v>
      </c>
      <c r="F48" s="166" t="n">
        <v>7175</v>
      </c>
      <c r="G48" s="166" t="n">
        <v>6728</v>
      </c>
      <c r="H48" s="166" t="n">
        <v>6650</v>
      </c>
      <c r="I48" s="166" t="n">
        <v>7048</v>
      </c>
      <c r="J48" s="166" t="n">
        <v>7492</v>
      </c>
      <c r="K48" s="166" t="n">
        <v>7477</v>
      </c>
      <c r="L48" s="146">
        <f>L41*SGA_Pct_Rev_Active</f>
        <v>8784.2191706979</v>
      </c>
      <c r="M48" s="146">
        <f>M41*SGA_Pct_Rev_Active</f>
        <v>6702.51138592521</v>
      </c>
      <c r="N48" s="146">
        <f>N41*SGA_Pct_Rev_Active</f>
        <v>6471.3903929791</v>
      </c>
      <c r="O48" s="146">
        <f>O41*SGA_Pct_Rev_Active</f>
        <v>7105.91193069779</v>
      </c>
      <c r="P48" s="146">
        <f>SUM(L48:O48)</f>
        <v>29064.0328803</v>
      </c>
      <c r="Q48" s="146">
        <f>J48</f>
        <v>7492</v>
      </c>
      <c r="R48" s="146">
        <f>Q48-L48</f>
        <v>-1292.2191706979</v>
      </c>
      <c r="S48" s="142">
        <f>R48/ABS(L48)</f>
        <v>-0.147106890844487</v>
      </c>
      <c r="T48" s="146">
        <f>T41*$G$68</f>
        <v>5420.69484000006</v>
      </c>
      <c r="U48" s="146">
        <f>U41*$G$68</f>
        <v>5233.77440051979</v>
      </c>
      <c r="V48" s="146">
        <f>V41*$G$68</f>
        <v>5746.94736321007</v>
      </c>
      <c r="W48" s="146">
        <f>Q48+T48+U48+V48</f>
        <v>23893.4166037299</v>
      </c>
      <c r="X48" s="143" t="inlineStr">
        <is>
          <t>Q2-Q4 FU SG&amp;A uses the Q1 actual SG&amp;A-to-revenue ratio (~5.2%), not the AOP's Drivers!SGA_Pct_Rev_Active assumption (6.6%) -- a -21.0% relative variance, well above threshold (row 68).</t>
        </is>
      </c>
      <c r="Y48" s="146">
        <f>K48</f>
        <v>7477</v>
      </c>
      <c r="Z48" s="146">
        <f>Y48-T48</f>
        <v>2056.30515999994</v>
      </c>
      <c r="AA48" s="142">
        <f>Z48/ABS(T48)</f>
        <v>0.379343464388769</v>
      </c>
      <c r="AB48" s="146">
        <f>AB41*$G$89</f>
        <v>6860.88234268572</v>
      </c>
      <c r="AC48" s="146">
        <f>AC41*$G$89</f>
        <v>7533.59366897365</v>
      </c>
      <c r="AD48" s="146">
        <f>Q48+Y48+AB48+AC48</f>
        <v>29363.4760116594</v>
      </c>
      <c r="AE48" s="143" t="inlineStr">
        <is>
          <t>Q3-Q4 Reforecast SG&amp;A uses the Q2 actual SG&amp;A-to-revenue ratio (~6.7%), not the Q1 Forecast Update's own Q2 assumption (~5.2%, itself pinned to Q1's unusually low ratio) -- a +29.0% relative variance, well above threshold (row 89). Same reversion pattern as R&amp;D above.</t>
        </is>
      </c>
      <c r="AF48" s="146">
        <f>AF41*SGA_Pct_Rev_Active</f>
        <v>9427.55838273127</v>
      </c>
      <c r="AG48" s="146">
        <f>AG41*SGA_Pct_Rev_Active</f>
        <v>7193.39034851412</v>
      </c>
      <c r="AH48" s="146">
        <f>AH41*SGA_Pct_Rev_Active</f>
        <v>6945.34250133123</v>
      </c>
      <c r="AI48" s="146">
        <f>AI41*SGA_Pct_Rev_Active</f>
        <v>7626.33516848802</v>
      </c>
      <c r="AJ48" s="146">
        <f>SUM(AF48:AI48)</f>
        <v>31192.6264010646</v>
      </c>
      <c r="AK48" s="143" t="inlineStr">
        <is>
          <t>Uses Drivers!SGA_Pct_Rev_Active directly (NOT the Q3 Reforecast's Q2-actual-pinned SG&amp;A% override, row 89) -- same reasoning as GM% above.</t>
        </is>
      </c>
    </row>
    <row r="49" ht="45" customHeight="1">
      <c r="A49" s="164" t="inlineStr">
        <is>
          <t>Operating income ($M)</t>
        </is>
      </c>
      <c r="B49" s="166" t="n">
        <v>40373</v>
      </c>
      <c r="C49" s="166" t="n">
        <v>27900</v>
      </c>
      <c r="D49" s="166" t="n">
        <v>25352</v>
      </c>
      <c r="E49" s="166" t="n">
        <v>29591</v>
      </c>
      <c r="F49" s="166" t="n">
        <v>42832</v>
      </c>
      <c r="G49" s="166" t="n">
        <v>29589</v>
      </c>
      <c r="H49" s="166" t="n">
        <v>28202</v>
      </c>
      <c r="I49" s="166" t="n">
        <v>32427</v>
      </c>
      <c r="J49" s="166" t="n">
        <v>50852</v>
      </c>
      <c r="K49" s="166" t="n">
        <v>35885</v>
      </c>
      <c r="L49" s="146">
        <f>L44-L47-L48</f>
        <v>43750.9259623853</v>
      </c>
      <c r="M49" s="146">
        <f>M44-M47-M48</f>
        <v>33382.7143550609</v>
      </c>
      <c r="N49" s="146">
        <f>N44-N47-N48</f>
        <v>32231.5867187573</v>
      </c>
      <c r="O49" s="146">
        <f>O44-O47-O48</f>
        <v>35391.9023118465</v>
      </c>
      <c r="P49" s="146">
        <f>SUM(L49:O49)</f>
        <v>144757.12934805</v>
      </c>
      <c r="Q49" s="171">
        <f>J49</f>
        <v>50852</v>
      </c>
      <c r="R49" s="146">
        <f>Q49-L49</f>
        <v>7101.07403761471</v>
      </c>
      <c r="S49" s="142">
        <f>R49/ABS(L49)</f>
        <v>0.162306828516494</v>
      </c>
      <c r="T49" s="146">
        <f>T44-T47-T48</f>
        <v>36390.9523329376</v>
      </c>
      <c r="U49" s="146">
        <f>U44-U47-U48</f>
        <v>35136.0923926614</v>
      </c>
      <c r="V49" s="146">
        <f>V44-V47-V48</f>
        <v>38581.1955344228</v>
      </c>
      <c r="W49" s="171">
        <f>Q49+T49+U49+V49</f>
        <v>160960.240260022</v>
      </c>
      <c r="X49" s="143" t="inlineStr">
        <is>
          <t>Flows through from the adjusted revenue (higher), unchanged GM% (immaterial variance), and adjusted R&amp;D%/SG&amp;A% (both lower than AOP) above -- no separate Operating Income driver adjustment.</t>
        </is>
      </c>
      <c r="Y49" s="171">
        <f>K49</f>
        <v>35885</v>
      </c>
      <c r="Z49" s="146">
        <f>Y49-T49</f>
        <v>-505.952332937566</v>
      </c>
      <c r="AA49" s="142">
        <f>Z49/ABS(T49)</f>
        <v>-0.0139032451887671</v>
      </c>
      <c r="AB49" s="146">
        <f>AB44-AB47-AB48</f>
        <v>32928.0142928015</v>
      </c>
      <c r="AC49" s="146">
        <f>AC44-AC47-AC48</f>
        <v>36156.614793516</v>
      </c>
      <c r="AD49" s="171">
        <f>Q49+Y49+AB49+AC49</f>
        <v>155821.629086318</v>
      </c>
      <c r="AE49" s="143" t="inlineStr">
        <is>
          <t>Flows through from the adjusted revenue (higher), adjusted GM% (slightly higher), and adjusted R&amp;D%/SG&amp;A% (both higher than the Q1 Forecast Update's Q1-anchored ratios) above -- no separate Operating Income driver adjustment.</t>
        </is>
      </c>
      <c r="AF49" s="146">
        <f>AF44-AF47-AF48</f>
        <v>47604.5898102949</v>
      </c>
      <c r="AG49" s="146">
        <f>AG44-AG47-AG48</f>
        <v>36323.1266234959</v>
      </c>
      <c r="AH49" s="146">
        <f>AH44-AH47-AH48</f>
        <v>35070.6054998827</v>
      </c>
      <c r="AI49" s="146">
        <f>AI44-AI47-AI48</f>
        <v>38509.2876345061</v>
      </c>
      <c r="AJ49" s="146">
        <f>SUM(AF49:AI49)</f>
        <v>157507.60956818</v>
      </c>
      <c r="AK49" s="143" t="inlineStr">
        <is>
          <t>Flows through from FY2027 AOP revenue, GM%, R&amp;D%, and SG&amp;A% above -- no separate Operating Income driver.</t>
        </is>
      </c>
    </row>
    <row r="50">
      <c r="A50" s="127" t="inlineStr">
        <is>
          <t>Operating margin %</t>
        </is>
      </c>
      <c r="B50" s="142">
        <f>B49/B41</f>
        <v>0.337637466025507</v>
      </c>
      <c r="C50" s="142">
        <f>C49/C41</f>
        <v>0.307427853624674</v>
      </c>
      <c r="D50" s="142">
        <f>D49/D41</f>
        <v>0.295557084066824</v>
      </c>
      <c r="E50" s="142">
        <f>E49/E41</f>
        <v>0.311713894448541</v>
      </c>
      <c r="F50" s="142">
        <f>F49/F41</f>
        <v>0.344585679806919</v>
      </c>
      <c r="G50" s="142">
        <f>G49/G41</f>
        <v>0.310290586100945</v>
      </c>
      <c r="H50" s="142">
        <f>H49/H41</f>
        <v>0.299906418818325</v>
      </c>
      <c r="I50" s="142">
        <f>I49/I41</f>
        <v>0.31646594968087</v>
      </c>
      <c r="J50" s="142">
        <f>J49/J41</f>
        <v>0.353738278750104</v>
      </c>
      <c r="K50" s="142">
        <f>K49/K41</f>
        <v>0.322753273852353</v>
      </c>
      <c r="L50" s="142">
        <f>L49/L41</f>
        <v>0.328721432993118</v>
      </c>
      <c r="M50" s="142">
        <f>M49/M41</f>
        <v>0.328721432993118</v>
      </c>
      <c r="N50" s="142">
        <f>N49/N41</f>
        <v>0.328721432993118</v>
      </c>
      <c r="O50" s="142">
        <f>O49/O41</f>
        <v>0.328721432993117</v>
      </c>
      <c r="P50" s="142">
        <f>P49/P41</f>
        <v>0.328721432993118</v>
      </c>
      <c r="Q50" s="142">
        <f>J50</f>
        <v>0.353738278750104</v>
      </c>
      <c r="R50" s="142">
        <f>Q50-L50</f>
        <v>0.0250168457569868</v>
      </c>
      <c r="S50" s="170" t="inlineStr">
        <is>
          <t>n/a (pp diff shown at left)</t>
        </is>
      </c>
      <c r="T50" s="142">
        <f>T49/T41</f>
        <v>0.34987285623806</v>
      </c>
      <c r="U50" s="142">
        <f>U49/U41</f>
        <v>0.34987285623806</v>
      </c>
      <c r="V50" s="142">
        <f>V49/V41</f>
        <v>0.34987285623806</v>
      </c>
      <c r="W50" s="142">
        <f>W49/W41</f>
        <v>0.351084894932255</v>
      </c>
      <c r="X50" s="129" t="n"/>
      <c r="Y50" s="142">
        <f>K50</f>
        <v>0.322753273852353</v>
      </c>
      <c r="Z50" s="142">
        <f>Y50-T50</f>
        <v>-0.0271195823857075</v>
      </c>
      <c r="AA50" s="170" t="inlineStr">
        <is>
          <t>n/a (pp diff shown at left)</t>
        </is>
      </c>
      <c r="AB50" s="142">
        <f>AB49/AB41</f>
        <v>0.322753273852353</v>
      </c>
      <c r="AC50" s="142">
        <f>AC49/AC41</f>
        <v>0.322753273852353</v>
      </c>
      <c r="AD50" s="142">
        <f>AD49/AD41</f>
        <v>0.332250920354714</v>
      </c>
      <c r="AE50" s="129" t="n"/>
      <c r="AF50" s="142">
        <f>AF49/AF41</f>
        <v>0.333267936397464</v>
      </c>
      <c r="AG50" s="142">
        <f>AG49/AG41</f>
        <v>0.333267936397464</v>
      </c>
      <c r="AH50" s="142">
        <f>AH49/AH41</f>
        <v>0.333267936397464</v>
      </c>
      <c r="AI50" s="142">
        <f>AI49/AI41</f>
        <v>0.333267936397464</v>
      </c>
      <c r="AJ50" s="142">
        <f>AJ49/AJ41</f>
        <v>0.333267936397464</v>
      </c>
      <c r="AK50" s="129" t="n"/>
    </row>
    <row r="51">
      <c r="A51" s="129" t="n"/>
      <c r="B51" s="129" t="n"/>
      <c r="C51" s="129" t="n"/>
      <c r="D51" s="129" t="n"/>
      <c r="E51" s="129" t="n"/>
      <c r="F51" s="129" t="n"/>
      <c r="G51" s="129" t="n"/>
      <c r="H51" s="129" t="n"/>
      <c r="I51" s="129" t="n"/>
      <c r="J51" s="129" t="n"/>
      <c r="K51" s="129" t="n"/>
      <c r="L51" s="129" t="n"/>
      <c r="M51" s="129" t="n"/>
      <c r="N51" s="129" t="n"/>
      <c r="O51" s="129" t="n"/>
      <c r="P51" s="129" t="n"/>
      <c r="Q51" s="129" t="n"/>
      <c r="R51" s="129" t="n"/>
      <c r="S51" s="129" t="n"/>
      <c r="T51" s="129" t="n"/>
      <c r="U51" s="129" t="n"/>
      <c r="V51" s="129" t="n"/>
      <c r="W51" s="129" t="n"/>
      <c r="X51" s="129" t="n"/>
      <c r="Y51" s="129" t="n"/>
      <c r="Z51" s="129" t="n"/>
      <c r="AA51" s="129" t="n"/>
      <c r="AB51" s="129" t="n"/>
      <c r="AC51" s="129" t="n"/>
      <c r="AD51" s="129" t="n"/>
      <c r="AE51" s="129" t="n"/>
      <c r="AF51" s="129" t="n"/>
      <c r="AG51" s="129" t="n"/>
      <c r="AH51" s="129" t="n"/>
      <c r="AI51" s="129" t="n"/>
      <c r="AJ51" s="129" t="n"/>
      <c r="AK51" s="129" t="n"/>
    </row>
    <row r="52" ht="45" customHeight="1">
      <c r="A52" s="127" t="inlineStr">
        <is>
          <t>Income tax provision ($M)</t>
        </is>
      </c>
      <c r="B52" s="169" t="inlineStr">
        <is>
          <t>n/a</t>
        </is>
      </c>
      <c r="C52" s="169" t="inlineStr">
        <is>
          <t>n/a</t>
        </is>
      </c>
      <c r="D52" s="170" t="inlineStr">
        <is>
          <t>n/a</t>
        </is>
      </c>
      <c r="E52" s="170" t="inlineStr">
        <is>
          <t>n/a</t>
        </is>
      </c>
      <c r="F52" s="170" t="inlineStr">
        <is>
          <t>n/a</t>
        </is>
      </c>
      <c r="G52" s="170" t="inlineStr">
        <is>
          <t>n/a</t>
        </is>
      </c>
      <c r="H52" s="170" t="inlineStr">
        <is>
          <t>n/a</t>
        </is>
      </c>
      <c r="I52" s="170" t="inlineStr">
        <is>
          <t>n/a</t>
        </is>
      </c>
      <c r="J52" s="170" t="inlineStr">
        <is>
          <t>n/a</t>
        </is>
      </c>
      <c r="K52" s="170" t="inlineStr">
        <is>
          <t>n/a</t>
        </is>
      </c>
      <c r="L52" s="146">
        <f>L49*Tax_Rate_Active</f>
        <v>7000.14815398165</v>
      </c>
      <c r="M52" s="146">
        <f>M49*Tax_Rate_Active</f>
        <v>5341.23429680974</v>
      </c>
      <c r="N52" s="146">
        <f>N49*Tax_Rate_Active</f>
        <v>5157.05387500117</v>
      </c>
      <c r="O52" s="146">
        <f>O49*Tax_Rate_Active</f>
        <v>5662.70436989543</v>
      </c>
      <c r="P52" s="146">
        <f>SUM(L52:O52)</f>
        <v>23161.140695688</v>
      </c>
      <c r="Q52" s="146" t="str">
        <f>J52</f>
        <v>n/a</v>
      </c>
      <c r="R52" s="170" t="inlineStr">
        <is>
          <t>n/a</t>
        </is>
      </c>
      <c r="S52" s="170" t="inlineStr">
        <is>
          <t>n/a</t>
        </is>
      </c>
      <c r="T52" s="146">
        <f>T49*$G$69</f>
        <v>6265.29512457462</v>
      </c>
      <c r="U52" s="146">
        <f>U49*$G$69</f>
        <v>6049.25054860674</v>
      </c>
      <c r="V52" s="146">
        <f>V49*$G$69</f>
        <v>6642.38116305891</v>
      </c>
      <c r="W52" s="146">
        <f>W49-W53</f>
        <v>27711.9268362403</v>
      </c>
      <c r="X52" s="143" t="inlineStr">
        <is>
          <t>Q2-Q4 FU applies the Q1 implied bundled Tax/Other haircut rate (~17.2%), not Drivers!Tax_Rate_Active (16.0%) -- a +7.6% relative variance, above threshold but flagged as a bundled estimate (conflates true tax-rate change with Task 12's unmodeled Other Income/(Expense) simplification; row 69).</t>
        </is>
      </c>
      <c r="Y52" s="146" t="str">
        <f>K52</f>
        <v>n/a</v>
      </c>
      <c r="Z52" s="170" t="inlineStr">
        <is>
          <t>n/a</t>
        </is>
      </c>
      <c r="AA52" s="170" t="inlineStr">
        <is>
          <t>n/a</t>
        </is>
      </c>
      <c r="AB52" s="146">
        <f>AB49*$G$90</f>
        <v>5669.09394189958</v>
      </c>
      <c r="AC52" s="146">
        <f>AC49*$G$90</f>
        <v>6224.95010062992</v>
      </c>
      <c r="AD52" s="146">
        <f>AD49-AD53</f>
        <v>26956.0440425295</v>
      </c>
      <c r="AE52" s="143" t="inlineStr">
        <is>
          <t>Unchanged from the Q1 Forecast Update -- Q2 implied Tax/Other variance was immaterial (+2.1% relative, below the 3% threshold; row 90). Q3-Q4 Reforecast continues to apply the same bundled ~17.2% Tax/Other haircut rate the Q1 Forecast Update carried forward from Q1 actual.</t>
        </is>
      </c>
      <c r="AF52" s="146">
        <f>AF49*Tax_Rate_Active</f>
        <v>7616.73436964718</v>
      </c>
      <c r="AG52" s="146">
        <f>AG49*Tax_Rate_Active</f>
        <v>5811.70025975935</v>
      </c>
      <c r="AH52" s="146">
        <f>AH49*Tax_Rate_Active</f>
        <v>5611.29687998124</v>
      </c>
      <c r="AI52" s="146">
        <f>AI49*Tax_Rate_Active</f>
        <v>6161.48602152098</v>
      </c>
      <c r="AJ52" s="146">
        <f>SUM(AF52:AI52)</f>
        <v>25201.2175309087</v>
      </c>
      <c r="AK52" s="143" t="inlineStr">
        <is>
          <t>Uses Drivers!Tax_Rate_Active directly (NOT the Q3 Reforecast's bundled Tax/Other haircut rate, row 90) -- a fresh plan reverts to the Drivers tab's clean effective tax rate assumption rather than carrying forward FY2026's bundled Other-Income-conflated estimate.</t>
        </is>
      </c>
    </row>
    <row r="53" ht="45" customHeight="1">
      <c r="A53" s="164" t="inlineStr">
        <is>
          <t>Net income ($M)</t>
        </is>
      </c>
      <c r="B53" s="166" t="n">
        <v>33916</v>
      </c>
      <c r="C53" s="166" t="n">
        <v>23636</v>
      </c>
      <c r="D53" s="166" t="n">
        <v>21448</v>
      </c>
      <c r="E53" s="166" t="n">
        <v>14736</v>
      </c>
      <c r="F53" s="166" t="n">
        <v>36330</v>
      </c>
      <c r="G53" s="166" t="n">
        <v>24780</v>
      </c>
      <c r="H53" s="166" t="n">
        <v>23434</v>
      </c>
      <c r="I53" s="166" t="n">
        <v>27466</v>
      </c>
      <c r="J53" s="166" t="n">
        <v>42097</v>
      </c>
      <c r="K53" s="166" t="n">
        <v>29578</v>
      </c>
      <c r="L53" s="171">
        <f>L49-L52</f>
        <v>36750.7778084036</v>
      </c>
      <c r="M53" s="171">
        <f>M49-M52</f>
        <v>28041.4800582512</v>
      </c>
      <c r="N53" s="171">
        <f>N49-N52</f>
        <v>27074.5328437562</v>
      </c>
      <c r="O53" s="171">
        <f>O49-O52</f>
        <v>29729.197941951</v>
      </c>
      <c r="P53" s="171">
        <f>SUM(L53:O53)</f>
        <v>121595.988652362</v>
      </c>
      <c r="Q53" s="171">
        <f>J53</f>
        <v>42097</v>
      </c>
      <c r="R53" s="146">
        <f>Q53-L53</f>
        <v>5346.22219159635</v>
      </c>
      <c r="S53" s="142">
        <f>R53/ABS(L53)</f>
        <v>0.145472354883707</v>
      </c>
      <c r="T53" s="171">
        <f>T49-T52</f>
        <v>30125.657208363</v>
      </c>
      <c r="U53" s="171">
        <f>U49-U52</f>
        <v>29086.8418440546</v>
      </c>
      <c r="V53" s="171">
        <f>V49-V52</f>
        <v>31938.8143713639</v>
      </c>
      <c r="W53" s="171">
        <f>Q53+T53+U53+V53</f>
        <v>133248.313423781</v>
      </c>
      <c r="X53" s="143" t="inlineStr">
        <is>
          <t>Flows through from adjusted revenue, R&amp;D%, SG&amp;A%, and Tax/Other rate above -- no separate Net Income driver adjustment.</t>
        </is>
      </c>
      <c r="Y53" s="171">
        <f>K53</f>
        <v>29578</v>
      </c>
      <c r="Z53" s="146">
        <f>Y53-T53</f>
        <v>-547.657208362951</v>
      </c>
      <c r="AA53" s="142">
        <f>Z53/ABS(T53)</f>
        <v>-0.0181790957978145</v>
      </c>
      <c r="AB53" s="171">
        <f>AB49-AB52</f>
        <v>27258.920350902</v>
      </c>
      <c r="AC53" s="171">
        <f>AC49-AC52</f>
        <v>29931.6646928861</v>
      </c>
      <c r="AD53" s="171">
        <f>Q53+Y53+AB53+AC53</f>
        <v>128865.585043788</v>
      </c>
      <c r="AE53" s="143" t="inlineStr">
        <is>
          <t>Flows through from adjusted revenue, GM%, R&amp;D%, and SG&amp;A% above; Tax/Other rate unchanged -- no separate Net Income driver adjustment.</t>
        </is>
      </c>
      <c r="AF53" s="171">
        <f>AF49-AF52</f>
        <v>39987.8554406477</v>
      </c>
      <c r="AG53" s="171">
        <f>AG49-AG52</f>
        <v>30511.4263637366</v>
      </c>
      <c r="AH53" s="171">
        <f>AH49-AH52</f>
        <v>29459.3086199015</v>
      </c>
      <c r="AI53" s="171">
        <f>AI49-AI52</f>
        <v>32347.8016129852</v>
      </c>
      <c r="AJ53" s="171">
        <f>SUM(AF53:AI53)</f>
        <v>132306.392037271</v>
      </c>
      <c r="AK53" s="143" t="inlineStr">
        <is>
          <t>Flows through from FY2027 AOP Operating Income and Tax_Rate_Active above -- no separate Net Income driver.</t>
        </is>
      </c>
    </row>
    <row r="54">
      <c r="A54" s="127" t="inlineStr">
        <is>
          <t>Net margin %</t>
        </is>
      </c>
      <c r="B54" s="142">
        <f>B53/B41</f>
        <v>0.283637884173113</v>
      </c>
      <c r="C54" s="142">
        <f>C53/C41</f>
        <v>0.260443180941677</v>
      </c>
      <c r="D54" s="142">
        <f>D53/D41</f>
        <v>0.250043718012987</v>
      </c>
      <c r="E54" s="142">
        <f>E53/E41</f>
        <v>0.155230169598652</v>
      </c>
      <c r="F54" s="142">
        <f>F53/F41</f>
        <v>0.292276749798874</v>
      </c>
      <c r="G54" s="142">
        <f>G53/G41</f>
        <v>0.25986010759341</v>
      </c>
      <c r="H54" s="142">
        <f>H53/H41</f>
        <v>0.249202433110724</v>
      </c>
      <c r="I54" s="142">
        <f>I53/I41</f>
        <v>0.268049889719517</v>
      </c>
      <c r="J54" s="142">
        <f>J53/J41</f>
        <v>0.292836472912435</v>
      </c>
      <c r="K54" s="142">
        <f>K53/K41</f>
        <v>0.266027485969204</v>
      </c>
      <c r="L54" s="142">
        <f>L53/L41</f>
        <v>0.276126003714219</v>
      </c>
      <c r="M54" s="142">
        <f>M53/M41</f>
        <v>0.276126003714219</v>
      </c>
      <c r="N54" s="142">
        <f>N53/N41</f>
        <v>0.276126003714219</v>
      </c>
      <c r="O54" s="142">
        <f>O53/O41</f>
        <v>0.276126003714219</v>
      </c>
      <c r="P54" s="142">
        <f>P53/P41</f>
        <v>0.276126003714219</v>
      </c>
      <c r="Q54" s="142">
        <f>J54</f>
        <v>0.292836472912435</v>
      </c>
      <c r="R54" s="142">
        <f>Q54-L54</f>
        <v>0.0167104691982163</v>
      </c>
      <c r="S54" s="170" t="inlineStr">
        <is>
          <t>n/a (pp diff shown at left)</t>
        </is>
      </c>
      <c r="T54" s="142">
        <f>T53/T41</f>
        <v>0.28963654583996</v>
      </c>
      <c r="U54" s="142">
        <f>U53/U41</f>
        <v>0.28963654583996</v>
      </c>
      <c r="V54" s="142">
        <f>V53/V41</f>
        <v>0.28963654583996</v>
      </c>
      <c r="W54" s="142">
        <f>W53/W41</f>
        <v>0.290639912333107</v>
      </c>
      <c r="X54" s="129" t="n"/>
      <c r="Y54" s="142">
        <f>K54</f>
        <v>0.266027485969204</v>
      </c>
      <c r="Z54" s="142">
        <f>Y54-T54</f>
        <v>-0.0236090598707555</v>
      </c>
      <c r="AA54" s="170" t="inlineStr">
        <is>
          <t>n/a (pp diff shown at left)</t>
        </is>
      </c>
      <c r="AB54" s="142">
        <f>AB53/AB41</f>
        <v>0.267186041244445</v>
      </c>
      <c r="AC54" s="142">
        <f>AC53/AC41</f>
        <v>0.267186041244445</v>
      </c>
      <c r="AD54" s="142">
        <f>AD53/AD41</f>
        <v>0.274773851896578</v>
      </c>
      <c r="AE54" s="129" t="n"/>
      <c r="AF54" s="142">
        <f>AF53/AF41</f>
        <v>0.279945066573869</v>
      </c>
      <c r="AG54" s="142">
        <f>AG53/AG41</f>
        <v>0.27994506657387</v>
      </c>
      <c r="AH54" s="142">
        <f>AH53/AH41</f>
        <v>0.27994506657387</v>
      </c>
      <c r="AI54" s="142">
        <f>AI53/AI41</f>
        <v>0.27994506657387</v>
      </c>
      <c r="AJ54" s="142">
        <f>AJ53/AJ41</f>
        <v>0.279945066573869</v>
      </c>
      <c r="AK54" s="129" t="n"/>
    </row>
    <row r="55">
      <c r="A55" s="129" t="n"/>
      <c r="B55" s="129" t="n"/>
      <c r="C55" s="129" t="n"/>
      <c r="D55" s="129" t="n"/>
      <c r="E55" s="129" t="n"/>
      <c r="F55" s="129" t="n"/>
      <c r="G55" s="129" t="n"/>
      <c r="H55" s="129" t="n"/>
      <c r="I55" s="129" t="n"/>
      <c r="J55" s="129" t="n"/>
      <c r="K55" s="129" t="n"/>
      <c r="L55" s="129" t="n"/>
      <c r="M55" s="129" t="n"/>
      <c r="N55" s="129" t="n"/>
      <c r="O55" s="129" t="n"/>
      <c r="P55" s="129" t="n"/>
      <c r="Q55" s="129" t="n"/>
      <c r="R55" s="129" t="n"/>
      <c r="S55" s="129" t="n"/>
      <c r="T55" s="129" t="n"/>
      <c r="U55" s="129" t="n"/>
      <c r="V55" s="129" t="n"/>
      <c r="W55" s="129" t="n"/>
      <c r="X55" s="129" t="n"/>
      <c r="Y55" s="129" t="n"/>
      <c r="Z55" s="129" t="n"/>
      <c r="AA55" s="129" t="n"/>
      <c r="AB55" s="129" t="n"/>
      <c r="AC55" s="129" t="n"/>
      <c r="AD55" s="129" t="n"/>
      <c r="AE55" s="129" t="n"/>
      <c r="AF55" s="129" t="n"/>
      <c r="AG55" s="129" t="n"/>
      <c r="AH55" s="129" t="n"/>
      <c r="AI55" s="129" t="n"/>
      <c r="AJ55" s="129" t="n"/>
      <c r="AK55" s="129" t="n"/>
    </row>
    <row r="56">
      <c r="A56" s="127" t="inlineStr">
        <is>
          <t>Diluted shares outstanding (M) -- historical: implied (NI / EPS); AOP: held flat at FY26 Q2 actual</t>
        </is>
      </c>
      <c r="B56" s="167">
        <f>B53/B57</f>
        <v>15557.7981651376</v>
      </c>
      <c r="C56" s="167">
        <f>C53/C57</f>
        <v>15448.3660130719</v>
      </c>
      <c r="D56" s="167">
        <f>D53/D57</f>
        <v>15320</v>
      </c>
      <c r="E56" s="167">
        <f>E53/E57</f>
        <v>15191.7525773196</v>
      </c>
      <c r="F56" s="167">
        <f>F53/F57</f>
        <v>15137.5</v>
      </c>
      <c r="G56" s="167">
        <f>G53/G57</f>
        <v>15018.1818181818</v>
      </c>
      <c r="H56" s="167">
        <f>H53/H57</f>
        <v>14926.1146496815</v>
      </c>
      <c r="I56" s="167">
        <f>I53/I57</f>
        <v>14927.1739130435</v>
      </c>
      <c r="J56" s="167">
        <f>J53/J57</f>
        <v>14822.8873239437</v>
      </c>
      <c r="K56" s="167">
        <f>K53/K57</f>
        <v>14715.4228855721</v>
      </c>
      <c r="L56" s="167">
        <f>$K$56</f>
        <v>14715.4228855721</v>
      </c>
      <c r="M56" s="167">
        <f>$K$56</f>
        <v>14715.4228855721</v>
      </c>
      <c r="N56" s="167">
        <f>$K$56</f>
        <v>14715.4228855721</v>
      </c>
      <c r="O56" s="167">
        <f>$K$56</f>
        <v>14715.4228855721</v>
      </c>
      <c r="P56" s="167">
        <f>$K$56</f>
        <v>14715.4228855721</v>
      </c>
      <c r="Q56" s="167">
        <f>J56</f>
        <v>14822.8873239437</v>
      </c>
      <c r="R56" s="167">
        <f>Q56-L56</f>
        <v>107.464438371522</v>
      </c>
      <c r="S56" s="142">
        <f>R56/ABS(L56)</f>
        <v>0.00730284404377441</v>
      </c>
      <c r="T56" s="167">
        <f>$K$56</f>
        <v>14715.4228855721</v>
      </c>
      <c r="U56" s="167">
        <f>$K$56</f>
        <v>14715.4228855721</v>
      </c>
      <c r="V56" s="167">
        <f>$K$56</f>
        <v>14715.4228855721</v>
      </c>
      <c r="W56" s="167">
        <f>$K$56</f>
        <v>14715.4228855721</v>
      </c>
      <c r="X56" s="129" t="n"/>
      <c r="Y56" s="167">
        <f>K56</f>
        <v>14715.4228855721</v>
      </c>
      <c r="Z56" s="167">
        <f>Y56-T56</f>
        <v>0</v>
      </c>
      <c r="AA56" s="142">
        <f>Z56/ABS(T56)</f>
        <v>0</v>
      </c>
      <c r="AB56" s="167">
        <f>$K$56</f>
        <v>14715.4228855721</v>
      </c>
      <c r="AC56" s="167">
        <f>$K$56</f>
        <v>14715.4228855721</v>
      </c>
      <c r="AD56" s="167">
        <f>$K$56</f>
        <v>14715.4228855721</v>
      </c>
      <c r="AE56" s="129" t="n"/>
      <c r="AF56" s="167">
        <f>$K$56</f>
        <v>14715.4228855721</v>
      </c>
      <c r="AG56" s="167">
        <f>$K$56</f>
        <v>14715.4228855721</v>
      </c>
      <c r="AH56" s="167">
        <f>$K$56</f>
        <v>14715.4228855721</v>
      </c>
      <c r="AI56" s="167">
        <f>$K$56</f>
        <v>14715.4228855721</v>
      </c>
      <c r="AJ56" s="167">
        <f>$K$56</f>
        <v>14715.4228855721</v>
      </c>
      <c r="AK56" s="129" t="n"/>
    </row>
    <row r="57" ht="45" customHeight="1">
      <c r="A57" s="164" t="inlineStr">
        <is>
          <t>Earnings per share - diluted ($/share)</t>
        </is>
      </c>
      <c r="B57" s="172" t="n">
        <v>2.18</v>
      </c>
      <c r="C57" s="172" t="n">
        <v>1.53</v>
      </c>
      <c r="D57" s="172" t="n">
        <v>1.4</v>
      </c>
      <c r="E57" s="172" t="n">
        <v>0.97</v>
      </c>
      <c r="F57" s="172" t="n">
        <v>2.4</v>
      </c>
      <c r="G57" s="172" t="n">
        <v>1.65</v>
      </c>
      <c r="H57" s="172" t="n">
        <v>1.57</v>
      </c>
      <c r="I57" s="172" t="n">
        <v>1.84</v>
      </c>
      <c r="J57" s="172" t="n">
        <v>2.84</v>
      </c>
      <c r="K57" s="172" t="n">
        <v>2.01</v>
      </c>
      <c r="L57" s="173">
        <f>L53/L56</f>
        <v>2.49743266599808</v>
      </c>
      <c r="M57" s="173">
        <f>M53/M56</f>
        <v>1.90558438424115</v>
      </c>
      <c r="N57" s="173">
        <f>N53/N56</f>
        <v>1.83987460328453</v>
      </c>
      <c r="O57" s="173">
        <f>O53/O56</f>
        <v>2.02027479421602</v>
      </c>
      <c r="P57" s="173">
        <f>P53/P56</f>
        <v>8.26316644773979</v>
      </c>
      <c r="Q57" s="173">
        <f>J57</f>
        <v>2.84</v>
      </c>
      <c r="R57" s="148">
        <f>Q57-L57</f>
        <v>0.342567334001916</v>
      </c>
      <c r="S57" s="142">
        <f>R57/ABS(L57)</f>
        <v>0.137167795819236</v>
      </c>
      <c r="T57" s="173">
        <f>T53/T56</f>
        <v>2.04721654570321</v>
      </c>
      <c r="U57" s="173">
        <f>U53/U56</f>
        <v>1.97662289899756</v>
      </c>
      <c r="V57" s="173">
        <f>V53/V56</f>
        <v>2.17043129645146</v>
      </c>
      <c r="W57" s="173">
        <f>W53/W56</f>
        <v>9.05501081823655</v>
      </c>
      <c r="X57" s="143" t="inlineStr">
        <is>
          <t>Flows through from adjusted Net Income above; diluted share count held flat at the same FY26 Q2 actual implied count the AOP used (Task 12's inherited share-count simplification -- no buyback modeled in this IS tab).</t>
        </is>
      </c>
      <c r="Y57" s="173">
        <f>K57</f>
        <v>2.01</v>
      </c>
      <c r="Z57" s="148">
        <f>Y57-T57</f>
        <v>-0.0372165457032096</v>
      </c>
      <c r="AA57" s="142">
        <f>Z57/ABS(T57)</f>
        <v>-0.0181790957978146</v>
      </c>
      <c r="AB57" s="173">
        <f>AB53/AB56</f>
        <v>1.85240482471137</v>
      </c>
      <c r="AC57" s="173">
        <f>AC53/AC56</f>
        <v>2.03403360716414</v>
      </c>
      <c r="AD57" s="173">
        <f>AD53/AD56</f>
        <v>8.75717850895983</v>
      </c>
      <c r="AE57" s="143" t="inlineStr">
        <is>
          <t>Flows through from adjusted Net Income above; diluted share count held flat at the same FY26 Q2 actual implied count the AOP and Q1 Forecast Update both used (Task 12's inherited share-count simplification -- no buyback modeled in this IS tab).</t>
        </is>
      </c>
      <c r="AF57" s="173">
        <f>AF53/AF56</f>
        <v>2.71741123252762</v>
      </c>
      <c r="AG57" s="173">
        <f>AG53/AG56</f>
        <v>2.07343184093281</v>
      </c>
      <c r="AH57" s="173">
        <f>AH53/AH56</f>
        <v>2.00193421887896</v>
      </c>
      <c r="AI57" s="173">
        <f>AI53/AI56</f>
        <v>2.19822439793428</v>
      </c>
      <c r="AJ57" s="173">
        <f>AJ53/AJ56</f>
        <v>8.99100169027366</v>
      </c>
      <c r="AK57" s="143" t="inlineStr">
        <is>
          <t>Flows through from FY2027 AOP Net Income above; diluted share count held flat at the same FY26 Q2 actual implied count every prior vintage used (Task 12's inherited share-count simplification -- no buyback modeled in this IS tab, so FY2027 EPS growth is entirely NI-driven, not share-count-driven).</t>
        </is>
      </c>
    </row>
    <row r="58">
      <c r="A58" s="129" t="n"/>
      <c r="B58" s="129" t="n"/>
      <c r="C58" s="129" t="n"/>
      <c r="D58" s="129" t="n"/>
      <c r="E58" s="129" t="n"/>
      <c r="F58" s="129" t="n"/>
      <c r="G58" s="129" t="n"/>
      <c r="H58" s="129" t="n"/>
      <c r="I58" s="129" t="n"/>
      <c r="J58" s="129" t="n"/>
      <c r="K58" s="129" t="n"/>
      <c r="L58" s="129" t="n"/>
      <c r="M58" s="129" t="n"/>
      <c r="N58" s="129" t="n"/>
      <c r="O58" s="129" t="n"/>
      <c r="P58" s="129" t="n"/>
      <c r="Q58" s="129" t="n"/>
      <c r="R58" s="129" t="n"/>
      <c r="S58" s="129" t="n"/>
      <c r="T58" s="129" t="n"/>
      <c r="U58" s="129" t="n"/>
      <c r="V58" s="129" t="n"/>
      <c r="W58" s="129" t="n"/>
      <c r="X58" s="129" t="n"/>
      <c r="Y58" s="129" t="n"/>
      <c r="Z58" s="129" t="n"/>
      <c r="AA58" s="129" t="n"/>
      <c r="AB58" s="129" t="n"/>
      <c r="AC58" s="129" t="n"/>
      <c r="AD58" s="129" t="n"/>
      <c r="AE58" s="129" t="n"/>
      <c r="AF58" s="129" t="n"/>
      <c r="AG58" s="129" t="n"/>
      <c r="AH58" s="129" t="n"/>
      <c r="AI58" s="129" t="n"/>
      <c r="AJ58" s="129" t="n"/>
      <c r="AK58" s="129" t="n"/>
    </row>
    <row r="59" ht="28" customHeight="1">
      <c r="A59" s="154" t="inlineStr">
        <is>
          <t>Color legend: blue = sourced/hardcoded input (historical actual or FY2025 anchor); black on light green = FY2026 Approved AOP formula (references Drivers tab Active column, cascades with the Scenario switch Drivers!B6); light grey = Total column (sum/recompute of the four AOP quarters). 'n/a' = not available at quarterly grain in the Historical Database source (no fabricated figures).</t>
        </is>
      </c>
      <c r="B59" s="218" t="n"/>
      <c r="C59" s="218" t="n"/>
      <c r="D59" s="218" t="n"/>
      <c r="E59" s="218" t="n"/>
      <c r="F59" s="218" t="n"/>
      <c r="G59" s="218" t="n"/>
      <c r="H59" s="218" t="n"/>
      <c r="I59" s="218" t="n"/>
      <c r="J59" s="218" t="n"/>
      <c r="K59" s="218" t="n"/>
      <c r="L59" s="218" t="n"/>
      <c r="M59" s="218" t="n"/>
      <c r="N59" s="218" t="n"/>
      <c r="O59" s="218" t="n"/>
      <c r="P59" s="219" t="n"/>
      <c r="Q59" s="129" t="n"/>
      <c r="R59" s="129" t="n"/>
      <c r="S59" s="129" t="n"/>
      <c r="T59" s="129" t="n"/>
      <c r="U59" s="129" t="n"/>
      <c r="V59" s="129" t="n"/>
      <c r="W59" s="129" t="n"/>
      <c r="X59" s="129" t="n"/>
      <c r="Y59" s="129" t="n"/>
      <c r="Z59" s="129" t="n"/>
      <c r="AA59" s="129" t="n"/>
      <c r="AB59" s="129" t="n"/>
      <c r="AC59" s="129" t="n"/>
      <c r="AD59" s="129" t="n"/>
      <c r="AE59" s="129" t="n"/>
      <c r="AF59" s="129" t="n"/>
      <c r="AG59" s="129" t="n"/>
      <c r="AH59" s="129" t="n"/>
      <c r="AI59" s="129" t="n"/>
      <c r="AJ59" s="129" t="n"/>
      <c r="AK59" s="129" t="n"/>
    </row>
    <row r="60">
      <c r="A60" s="129" t="n"/>
      <c r="B60" s="129" t="n"/>
      <c r="C60" s="129" t="n"/>
      <c r="D60" s="129" t="n"/>
      <c r="E60" s="129" t="n"/>
      <c r="F60" s="129" t="n"/>
      <c r="G60" s="129" t="n"/>
      <c r="H60" s="129" t="n"/>
      <c r="I60" s="129" t="n"/>
      <c r="J60" s="129" t="n"/>
      <c r="K60" s="129" t="n"/>
      <c r="L60" s="129" t="n"/>
      <c r="M60" s="129" t="n"/>
      <c r="N60" s="129" t="n"/>
      <c r="O60" s="129" t="n"/>
      <c r="P60" s="129" t="n"/>
      <c r="Q60" s="129" t="n"/>
      <c r="R60" s="129" t="n"/>
      <c r="S60" s="129" t="n"/>
      <c r="T60" s="129" t="n"/>
      <c r="U60" s="129" t="n"/>
      <c r="V60" s="129" t="n"/>
      <c r="W60" s="129" t="n"/>
      <c r="X60" s="129" t="n"/>
      <c r="Y60" s="129" t="n"/>
      <c r="Z60" s="129" t="n"/>
      <c r="AA60" s="129" t="n"/>
      <c r="AB60" s="129" t="n"/>
      <c r="AC60" s="129" t="n"/>
      <c r="AD60" s="129" t="n"/>
      <c r="AE60" s="129" t="n"/>
      <c r="AF60" s="129" t="n"/>
      <c r="AG60" s="129" t="n"/>
      <c r="AH60" s="129" t="n"/>
      <c r="AI60" s="129" t="n"/>
      <c r="AJ60" s="129" t="n"/>
      <c r="AK60" s="129" t="n"/>
    </row>
    <row r="61" ht="42" customHeight="1">
      <c r="A61" s="174" t="inlineStr">
        <is>
          <t>Q1 FORECAST UPDATE -- second rolling-forecast vintage in the chain (FY2026 Approved AOP -&gt; Q1 FY2026 Actual -&gt; Q1 Forecast Update). Materiality threshold: a Q1 Actual vs. AOP Q1 driver variance is carried forward into the Q2-Q4 Forecast Update columns (T:V) only where ABS(relative variance) &gt; 3% (brief's suggested 2-3% range; 3% chosen and applied consistently below). Variances at or below 3% are treated as noise and the original AOP Base-scenario Drivers-tab assumption is retained unchanged.</t>
        </is>
      </c>
      <c r="B61" s="218" t="n"/>
      <c r="C61" s="218" t="n"/>
      <c r="D61" s="218" t="n"/>
      <c r="E61" s="218" t="n"/>
      <c r="F61" s="218" t="n"/>
      <c r="G61" s="218" t="n"/>
      <c r="H61" s="218" t="n"/>
      <c r="I61" s="218" t="n"/>
      <c r="J61" s="218" t="n"/>
      <c r="K61" s="218" t="n"/>
      <c r="L61" s="218" t="n"/>
      <c r="M61" s="218" t="n"/>
      <c r="N61" s="218" t="n"/>
      <c r="O61" s="218" t="n"/>
      <c r="P61" s="218" t="n"/>
      <c r="Q61" s="218" t="n"/>
      <c r="R61" s="218" t="n"/>
      <c r="S61" s="218" t="n"/>
      <c r="T61" s="218" t="n"/>
      <c r="U61" s="218" t="n"/>
      <c r="V61" s="218" t="n"/>
      <c r="W61" s="218" t="n"/>
      <c r="X61" s="219" t="n"/>
      <c r="Y61" s="129" t="n"/>
      <c r="Z61" s="129" t="n"/>
      <c r="AA61" s="129" t="n"/>
      <c r="AB61" s="129" t="n"/>
      <c r="AC61" s="129" t="n"/>
      <c r="AD61" s="129" t="n"/>
      <c r="AE61" s="129" t="n"/>
      <c r="AF61" s="129" t="n"/>
      <c r="AG61" s="129" t="n"/>
      <c r="AH61" s="129" t="n"/>
      <c r="AI61" s="129" t="n"/>
      <c r="AJ61" s="129" t="n"/>
      <c r="AK61" s="129" t="n"/>
    </row>
    <row r="62">
      <c r="A62" s="129" t="n"/>
      <c r="B62" s="129" t="n"/>
      <c r="C62" s="129" t="n"/>
      <c r="D62" s="129" t="n"/>
      <c r="E62" s="129" t="n"/>
      <c r="F62" s="129" t="n"/>
      <c r="G62" s="129" t="n"/>
      <c r="H62" s="129" t="n"/>
      <c r="I62" s="129" t="n"/>
      <c r="J62" s="129" t="n"/>
      <c r="K62" s="129" t="n"/>
      <c r="L62" s="129" t="n"/>
      <c r="M62" s="129" t="n"/>
      <c r="N62" s="129" t="n"/>
      <c r="O62" s="129" t="n"/>
      <c r="P62" s="129" t="n"/>
      <c r="Q62" s="129" t="n"/>
      <c r="R62" s="129" t="n"/>
      <c r="S62" s="129" t="n"/>
      <c r="T62" s="129" t="n"/>
      <c r="U62" s="129" t="n"/>
      <c r="V62" s="129" t="n"/>
      <c r="W62" s="129" t="n"/>
      <c r="X62" s="129" t="n"/>
      <c r="Y62" s="129" t="n"/>
      <c r="Z62" s="129" t="n"/>
      <c r="AA62" s="129" t="n"/>
      <c r="AB62" s="129" t="n"/>
      <c r="AC62" s="129" t="n"/>
      <c r="AD62" s="129" t="n"/>
      <c r="AE62" s="129" t="n"/>
      <c r="AF62" s="129" t="n"/>
      <c r="AG62" s="129" t="n"/>
      <c r="AH62" s="129" t="n"/>
      <c r="AI62" s="129" t="n"/>
      <c r="AJ62" s="129" t="n"/>
      <c r="AK62" s="129" t="n"/>
    </row>
    <row r="63" ht="16" customHeight="1">
      <c r="A63" s="138" t="inlineStr">
        <is>
          <t>DRIVER ADJUSTMENT LOG -- Q1 FY2026 Actual vs. FY2026 Approved AOP Q1 (each row below is a real formula referencing the IS tab's own Q1 Actual / AOP Q1 cells and the Drivers tab's Active named ranges; nothing here is hardcoded)</t>
        </is>
      </c>
      <c r="B63" s="218" t="n"/>
      <c r="C63" s="218" t="n"/>
      <c r="D63" s="218" t="n"/>
      <c r="E63" s="218" t="n"/>
      <c r="F63" s="218" t="n"/>
      <c r="G63" s="218" t="n"/>
      <c r="H63" s="218" t="n"/>
      <c r="I63" s="218" t="n"/>
      <c r="J63" s="218" t="n"/>
      <c r="K63" s="218" t="n"/>
      <c r="L63" s="218" t="n"/>
      <c r="M63" s="218" t="n"/>
      <c r="N63" s="218" t="n"/>
      <c r="O63" s="218" t="n"/>
      <c r="P63" s="218" t="n"/>
      <c r="Q63" s="218" t="n"/>
      <c r="R63" s="218" t="n"/>
      <c r="S63" s="218" t="n"/>
      <c r="T63" s="218" t="n"/>
      <c r="U63" s="218" t="n"/>
      <c r="V63" s="218" t="n"/>
      <c r="W63" s="218" t="n"/>
      <c r="X63" s="219" t="n"/>
      <c r="Y63" s="129" t="n"/>
      <c r="Z63" s="129" t="n"/>
      <c r="AA63" s="129" t="n"/>
      <c r="AB63" s="129" t="n"/>
      <c r="AC63" s="129" t="n"/>
      <c r="AD63" s="129" t="n"/>
      <c r="AE63" s="129" t="n"/>
      <c r="AF63" s="129" t="n"/>
      <c r="AG63" s="129" t="n"/>
      <c r="AH63" s="129" t="n"/>
      <c r="AI63" s="129" t="n"/>
      <c r="AJ63" s="129" t="n"/>
      <c r="AK63" s="129" t="n"/>
    </row>
    <row r="64" ht="28" customHeight="1">
      <c r="A64" s="137" t="inlineStr">
        <is>
          <t>Driver</t>
        </is>
      </c>
      <c r="B64" s="137" t="inlineStr">
        <is>
          <t>Q1 Actual</t>
        </is>
      </c>
      <c r="C64" s="137" t="inlineStr">
        <is>
          <t>AOP Q1 Assumption</t>
        </is>
      </c>
      <c r="D64" s="137" t="inlineStr">
        <is>
          <t>Variance (abs / pp)</t>
        </is>
      </c>
      <c r="E64" s="137" t="inlineStr">
        <is>
          <t>Variance (% relative)</t>
        </is>
      </c>
      <c r="F64" s="137" t="inlineStr">
        <is>
          <t>Material? (&gt;3% relative)</t>
        </is>
      </c>
      <c r="G64" s="137" t="inlineStr">
        <is>
          <t>Adjusted Value -&gt; Q2-Q4 FU (live IF(), mirrors col F -- never a static/hardcoded choice)</t>
        </is>
      </c>
      <c r="H64" s="137" t="inlineStr">
        <is>
          <t>Rationale (plain language)</t>
        </is>
      </c>
      <c r="I64" s="218" t="n"/>
      <c r="J64" s="218" t="n"/>
      <c r="K64" s="218" t="n"/>
      <c r="L64" s="218" t="n"/>
      <c r="M64" s="218" t="n"/>
      <c r="N64" s="218" t="n"/>
      <c r="O64" s="218" t="n"/>
      <c r="P64" s="218" t="n"/>
      <c r="Q64" s="218" t="n"/>
      <c r="R64" s="218" t="n"/>
      <c r="S64" s="218" t="n"/>
      <c r="T64" s="218" t="n"/>
      <c r="U64" s="218" t="n"/>
      <c r="V64" s="218" t="n"/>
      <c r="W64" s="218" t="n"/>
      <c r="X64" s="219" t="n"/>
      <c r="Y64" s="129" t="n"/>
      <c r="Z64" s="129" t="n"/>
      <c r="AA64" s="129" t="n"/>
      <c r="AB64" s="129" t="n"/>
      <c r="AC64" s="129" t="n"/>
      <c r="AD64" s="129" t="n"/>
      <c r="AE64" s="129" t="n"/>
      <c r="AF64" s="129" t="n"/>
      <c r="AG64" s="129" t="n"/>
      <c r="AH64" s="129" t="n"/>
      <c r="AI64" s="129" t="n"/>
      <c r="AJ64" s="129" t="n"/>
      <c r="AK64" s="129" t="n"/>
    </row>
    <row r="65" ht="60" customHeight="1">
      <c r="A65" s="131" t="inlineStr">
        <is>
          <t>Consolidated Net Sales (blended Units x ASP x FX x Mix growth proxy -- Historical Database has no quarterly segment split, so the beat cannot be attributed to a specific product line; see Task 12 note). NOTE: column G here is expressed as a % of AOP ANNUAL revenue (col G = D/ABS(B31)), not of AOP Q1 (col E) -- deliberately, so the dollar-level Q1 beat still cascades with the Drivers!B6 scenario switch when grossed up into a full-year figure below (rows 73-78); dividing by AOP Q1 instead would algebraically cancel the scenario dependency out of the Q2-Q4 Forecast Update entirely (verified: AOPQ1(scenario) x [1 + (Actual-AOPQ1)/AOPQ1(scenario)] = Actual regardless of scenario -- a bug caught during self-review).</t>
        </is>
      </c>
      <c r="B65" s="146">
        <f>Q41</f>
        <v>143756</v>
      </c>
      <c r="C65" s="146">
        <f>L41</f>
        <v>133094.229859059</v>
      </c>
      <c r="D65" s="146">
        <f>B65-C65</f>
        <v>10661.7701409408</v>
      </c>
      <c r="E65" s="142">
        <f>D65/ABS(C65)</f>
        <v>0.0801069298964439</v>
      </c>
      <c r="F65" s="175" t="str">
        <f>IF(ABS(E65)&gt;0.03,"Y -- carried forward","N -- immaterial, AOP retained")</f>
        <v>Y -- carried forward</v>
      </c>
      <c r="G65" s="146">
        <f>IF(ABS(E65)&gt;0.03,D65/ABS(B31),0)</f>
        <v>0.0242112590568619</v>
      </c>
      <c r="H65" s="143" t="inlineStr">
        <is>
          <t>Q1 FY2026 actual net sales beat the Approved AOP Q1 assumption by roughly +$10.7B / +8.0% of AOP Q1 (col E) -- well above the 3% threshold, so col G evaluates its IF()'s TRUE branch: the +$10.7B beat is carried forward as a uniform annual-revenue uplift (~+2.4% of AOP Annual Total) applied to all five revenue streams' Q2-Q4 annual-build revenue (rows 73-78) -- i.e. the full-year AOP revenue path is raised by the Q1 dollar beat -- rather than reverting to the original AOP units/ASP path for Q2-Q4. If a future scenario toggle ever makes this variance immaterial (&lt;=3%), col G's FALSE branch (0) means the annual build correctly falls back to the unmodified AOP annual revenue (B73=B18*(1+0)=B18).</t>
        </is>
      </c>
      <c r="I65" s="218" t="n"/>
      <c r="J65" s="218" t="n"/>
      <c r="K65" s="218" t="n"/>
      <c r="L65" s="218" t="n"/>
      <c r="M65" s="218" t="n"/>
      <c r="N65" s="218" t="n"/>
      <c r="O65" s="218" t="n"/>
      <c r="P65" s="218" t="n"/>
      <c r="Q65" s="218" t="n"/>
      <c r="R65" s="218" t="n"/>
      <c r="S65" s="218" t="n"/>
      <c r="T65" s="218" t="n"/>
      <c r="U65" s="218" t="n"/>
      <c r="V65" s="218" t="n"/>
      <c r="W65" s="218" t="n"/>
      <c r="X65" s="219" t="n"/>
      <c r="Y65" s="129" t="n"/>
      <c r="Z65" s="129" t="n"/>
      <c r="AA65" s="129" t="n"/>
      <c r="AB65" s="129" t="n"/>
      <c r="AC65" s="129" t="n"/>
      <c r="AD65" s="129" t="n"/>
      <c r="AE65" s="129" t="n"/>
      <c r="AF65" s="129" t="n"/>
      <c r="AG65" s="129" t="n"/>
      <c r="AH65" s="129" t="n"/>
      <c r="AI65" s="129" t="n"/>
      <c r="AJ65" s="129" t="n"/>
      <c r="AK65" s="129" t="n"/>
    </row>
    <row r="66" ht="60" customHeight="1">
      <c r="A66" s="131" t="inlineStr">
        <is>
          <t>Blended Gross Margin % (Products_GM_Active / Services_GM_Active mix)</t>
        </is>
      </c>
      <c r="B66" s="142">
        <f>Q45</f>
        <v>0.481586855505162</v>
      </c>
      <c r="C66" s="142">
        <f>L45</f>
        <v>0.477721432993118</v>
      </c>
      <c r="D66" s="142">
        <f>B66-C66</f>
        <v>0.00386542251204397</v>
      </c>
      <c r="E66" s="142">
        <f>D66/ABS(C66)</f>
        <v>0.00809137343456738</v>
      </c>
      <c r="F66" s="175" t="str">
        <f>IF(ABS(E66)&gt;0.03,"Y -- carried forward","N -- immaterial, AOP retained")</f>
        <v>N -- immaterial, AOP retained</v>
      </c>
      <c r="G66" s="142">
        <f>IF(ABS(E66)&gt;0.03,B66,C66)</f>
        <v>0.477721432993118</v>
      </c>
      <c r="H66" s="143" t="inlineStr">
        <is>
          <t>Q1 actual GM% came in only ~+0.4pp / +0.8% relative above the AOP Q1 assumption -- below the 3% materiality threshold, so col G's IF() evaluates to its FALSE branch (the AOP assumption, col C), unchanged. No GM% driver change is carried forward under the delivered Base scenario; Q2-Q4 FU gross margin continues to use Products_GM_Active / Services_GM_Active exactly as the AOP did. (Col G is now a live IF() re-testing col E each time, so if a different scenario ever pushed this variance above 3%, col G would automatically switch to the actual-based value, col B, instead of silently staying stuck at the AOP value the way the original hardcoded version did.)</t>
        </is>
      </c>
      <c r="I66" s="218" t="n"/>
      <c r="J66" s="218" t="n"/>
      <c r="K66" s="218" t="n"/>
      <c r="L66" s="218" t="n"/>
      <c r="M66" s="218" t="n"/>
      <c r="N66" s="218" t="n"/>
      <c r="O66" s="218" t="n"/>
      <c r="P66" s="218" t="n"/>
      <c r="Q66" s="218" t="n"/>
      <c r="R66" s="218" t="n"/>
      <c r="S66" s="218" t="n"/>
      <c r="T66" s="218" t="n"/>
      <c r="U66" s="218" t="n"/>
      <c r="V66" s="218" t="n"/>
      <c r="W66" s="218" t="n"/>
      <c r="X66" s="219" t="n"/>
      <c r="Y66" s="129" t="n"/>
      <c r="Z66" s="129" t="n"/>
      <c r="AA66" s="129" t="n"/>
      <c r="AB66" s="129" t="n"/>
      <c r="AC66" s="129" t="n"/>
      <c r="AD66" s="129" t="n"/>
      <c r="AE66" s="129" t="n"/>
      <c r="AF66" s="129" t="n"/>
      <c r="AG66" s="129" t="n"/>
      <c r="AH66" s="129" t="n"/>
      <c r="AI66" s="129" t="n"/>
      <c r="AJ66" s="129" t="n"/>
      <c r="AK66" s="129" t="n"/>
    </row>
    <row r="67" ht="60" customHeight="1">
      <c r="A67" s="131" t="inlineStr">
        <is>
          <t>R&amp;D as % of Net Sales (vs. Drivers!RD_Pct_Rev_Active)</t>
        </is>
      </c>
      <c r="B67" s="142">
        <f>Q47/Q41</f>
        <v>0.0757324911655861</v>
      </c>
      <c r="C67" s="142">
        <f>RD_Pct_Rev_Active</f>
        <v>0.083</v>
      </c>
      <c r="D67" s="142">
        <f>B67-C67</f>
        <v>-0.00726750883441388</v>
      </c>
      <c r="E67" s="142">
        <f>D67/ABS(C67)</f>
        <v>-0.0875603474025768</v>
      </c>
      <c r="F67" s="175" t="str">
        <f>IF(ABS(E67)&gt;0.03,"Y -- carried forward","N -- immaterial, AOP retained")</f>
        <v>Y -- carried forward</v>
      </c>
      <c r="G67" s="142">
        <f>IF(ABS(E67)&gt;0.03,B67,C67)</f>
        <v>0.0757324911655861</v>
      </c>
      <c r="H67" s="143" t="inlineStr">
        <is>
          <t>Q1 actual R&amp;D ran at ~7.6% of net sales vs. the AOP's 8.3% Base-scenario assumption (Drivers!RD_Pct_Rev_Active) -- a -0.7pp / -8.8% relative variance, above threshold, so col G's IF() evaluates to its TRUE branch (the actual ratio, col B). Carried forward: Q2-Q4 FU R&amp;D uses the Q1 actual ratio (~7.6%) instead of reverting to the AOP's 8.3%, reflecting R&amp;D spend growing slower than the Q1 revenue beat. Col G is a live IF() -- if a scenario toggle ever pushed Drivers!RD_Pct_Rev_Active close enough to 7.6% to fall within 3% relative, col G would automatically fall back to col C (the AOP assumption).</t>
        </is>
      </c>
      <c r="I67" s="218" t="n"/>
      <c r="J67" s="218" t="n"/>
      <c r="K67" s="218" t="n"/>
      <c r="L67" s="218" t="n"/>
      <c r="M67" s="218" t="n"/>
      <c r="N67" s="218" t="n"/>
      <c r="O67" s="218" t="n"/>
      <c r="P67" s="218" t="n"/>
      <c r="Q67" s="218" t="n"/>
      <c r="R67" s="218" t="n"/>
      <c r="S67" s="218" t="n"/>
      <c r="T67" s="218" t="n"/>
      <c r="U67" s="218" t="n"/>
      <c r="V67" s="218" t="n"/>
      <c r="W67" s="218" t="n"/>
      <c r="X67" s="219" t="n"/>
      <c r="Y67" s="129" t="n"/>
      <c r="Z67" s="129" t="n"/>
      <c r="AA67" s="129" t="n"/>
      <c r="AB67" s="129" t="n"/>
      <c r="AC67" s="129" t="n"/>
      <c r="AD67" s="129" t="n"/>
      <c r="AE67" s="129" t="n"/>
      <c r="AF67" s="129" t="n"/>
      <c r="AG67" s="129" t="n"/>
      <c r="AH67" s="129" t="n"/>
      <c r="AI67" s="129" t="n"/>
      <c r="AJ67" s="129" t="n"/>
      <c r="AK67" s="129" t="n"/>
    </row>
    <row r="68" ht="60" customHeight="1">
      <c r="A68" s="131" t="inlineStr">
        <is>
          <t>SG&amp;A as % of Net Sales (vs. Drivers!SGA_Pct_Rev_Active)</t>
        </is>
      </c>
      <c r="B68" s="142">
        <f>Q48/Q41</f>
        <v>0.052116085589471</v>
      </c>
      <c r="C68" s="142">
        <f>SGA_Pct_Rev_Active</f>
        <v>0.066</v>
      </c>
      <c r="D68" s="142">
        <f>B68-C68</f>
        <v>-0.013883914410529</v>
      </c>
      <c r="E68" s="142">
        <f>D68/ABS(C68)</f>
        <v>-0.210362339553469</v>
      </c>
      <c r="F68" s="175" t="str">
        <f>IF(ABS(E68)&gt;0.03,"Y -- carried forward","N -- immaterial, AOP retained")</f>
        <v>Y -- carried forward</v>
      </c>
      <c r="G68" s="142">
        <f>IF(ABS(E68)&gt;0.03,B68,C68)</f>
        <v>0.052116085589471</v>
      </c>
      <c r="H68" s="143" t="inlineStr">
        <is>
          <t>Q1 actual SG&amp;A ran at ~5.2% of net sales vs. the AOP's 6.6% Base-scenario assumption (Drivers!SGA_Pct_Rev_Active) -- a -1.4pp / -21.0% relative variance, well above threshold, so col G's IF() evaluates to its TRUE branch (the actual ratio, col B). Carried forward: Q2-Q4 FU SG&amp;A uses the Q1 actual ratio (~5.2%) instead of reverting to the AOP's 6.6%. Col G is a live IF() re-testing col E, not a value baked in from the Base scenario.</t>
        </is>
      </c>
      <c r="I68" s="218" t="n"/>
      <c r="J68" s="218" t="n"/>
      <c r="K68" s="218" t="n"/>
      <c r="L68" s="218" t="n"/>
      <c r="M68" s="218" t="n"/>
      <c r="N68" s="218" t="n"/>
      <c r="O68" s="218" t="n"/>
      <c r="P68" s="218" t="n"/>
      <c r="Q68" s="218" t="n"/>
      <c r="R68" s="218" t="n"/>
      <c r="S68" s="218" t="n"/>
      <c r="T68" s="218" t="n"/>
      <c r="U68" s="218" t="n"/>
      <c r="V68" s="218" t="n"/>
      <c r="W68" s="218" t="n"/>
      <c r="X68" s="219" t="n"/>
      <c r="Y68" s="129" t="n"/>
      <c r="Z68" s="129" t="n"/>
      <c r="AA68" s="129" t="n"/>
      <c r="AB68" s="129" t="n"/>
      <c r="AC68" s="129" t="n"/>
      <c r="AD68" s="129" t="n"/>
      <c r="AE68" s="129" t="n"/>
      <c r="AF68" s="129" t="n"/>
      <c r="AG68" s="129" t="n"/>
      <c r="AH68" s="129" t="n"/>
      <c r="AI68" s="129" t="n"/>
      <c r="AJ68" s="129" t="n"/>
      <c r="AK68" s="129" t="n"/>
    </row>
    <row r="69" ht="60" customHeight="1">
      <c r="A69" s="131" t="inlineStr">
        <is>
          <t>Effective Tax / Other haircut rate, 1-(NI/OpInc) (vs. Drivers!Tax_Rate_Active; bundles the true effective tax rate with Task 12's unmodeled Other Income/(Expense) simplification -- see Task 12 Concern #1)</t>
        </is>
      </c>
      <c r="B69" s="142">
        <f>1-Q53/Q49</f>
        <v>0.172166286478408</v>
      </c>
      <c r="C69" s="142">
        <f>Tax_Rate_Active</f>
        <v>0.16</v>
      </c>
      <c r="D69" s="142">
        <f>B69-C69</f>
        <v>0.0121662864784079</v>
      </c>
      <c r="E69" s="142">
        <f>D69/ABS(C69)</f>
        <v>0.0760392904900495</v>
      </c>
      <c r="F69" s="175" t="str">
        <f>IF(ABS(E69)&gt;0.03,"Y -- carried forward","N -- immaterial, AOP retained")</f>
        <v>Y -- carried forward</v>
      </c>
      <c r="G69" s="142">
        <f>IF(ABS(E69)&gt;0.03,B69,C69)</f>
        <v>0.172166286478408</v>
      </c>
      <c r="H69" s="143" t="inlineStr">
        <is>
          <t>Q1 implied OpInc-to-NI haircut was ~17.2% vs. the AOP's 16.0% Tax_Rate_Active assumption -- a +1.2pp / +7.6% relative variance, above threshold, so col G's IF() evaluates to its TRUE branch (the actual ratio, col B). Because Task 12's IS tab applies Tax_Rate_Active directly to Operating Income (no separately modeled Other Income/(Expense) line), this implied gap conflates any real effective-tax-rate change with unmodeled non-operating items. Rather than assert a pure tax-rate change that cannot be isolated from this data, Q2-Q4 FU carries forward the full bundled ~17.2% haircut as a single 'Tax/Other Drag' proxy -- flagged here as a bundled estimate, not a confirmed tax-rate revision. Col G is a live IF(), not a value baked in from the Base scenario.</t>
        </is>
      </c>
      <c r="I69" s="218" t="n"/>
      <c r="J69" s="218" t="n"/>
      <c r="K69" s="218" t="n"/>
      <c r="L69" s="218" t="n"/>
      <c r="M69" s="218" t="n"/>
      <c r="N69" s="218" t="n"/>
      <c r="O69" s="218" t="n"/>
      <c r="P69" s="218" t="n"/>
      <c r="Q69" s="218" t="n"/>
      <c r="R69" s="218" t="n"/>
      <c r="S69" s="218" t="n"/>
      <c r="T69" s="218" t="n"/>
      <c r="U69" s="218" t="n"/>
      <c r="V69" s="218" t="n"/>
      <c r="W69" s="218" t="n"/>
      <c r="X69" s="219" t="n"/>
      <c r="Y69" s="129" t="n"/>
      <c r="Z69" s="129" t="n"/>
      <c r="AA69" s="129" t="n"/>
      <c r="AB69" s="129" t="n"/>
      <c r="AC69" s="129" t="n"/>
      <c r="AD69" s="129" t="n"/>
      <c r="AE69" s="129" t="n"/>
      <c r="AF69" s="129" t="n"/>
      <c r="AG69" s="129" t="n"/>
      <c r="AH69" s="129" t="n"/>
      <c r="AI69" s="129" t="n"/>
      <c r="AJ69" s="129" t="n"/>
      <c r="AK69" s="129" t="n"/>
    </row>
    <row r="70">
      <c r="A70" s="129" t="n"/>
      <c r="B70" s="129" t="n"/>
      <c r="C70" s="129" t="n"/>
      <c r="D70" s="129" t="n"/>
      <c r="E70" s="129" t="n"/>
      <c r="F70" s="129" t="n"/>
      <c r="G70" s="129" t="n"/>
      <c r="H70" s="129" t="n"/>
      <c r="I70" s="129" t="n"/>
      <c r="J70" s="129" t="n"/>
      <c r="K70" s="129" t="n"/>
      <c r="L70" s="129" t="n"/>
      <c r="M70" s="129" t="n"/>
      <c r="N70" s="129" t="n"/>
      <c r="O70" s="129" t="n"/>
      <c r="P70" s="129" t="n"/>
      <c r="Q70" s="129" t="n"/>
      <c r="R70" s="129" t="n"/>
      <c r="S70" s="129" t="n"/>
      <c r="T70" s="129" t="n"/>
      <c r="U70" s="129" t="n"/>
      <c r="V70" s="129" t="n"/>
      <c r="W70" s="129" t="n"/>
      <c r="X70" s="129" t="n"/>
      <c r="Y70" s="129" t="n"/>
      <c r="Z70" s="129" t="n"/>
      <c r="AA70" s="129" t="n"/>
      <c r="AB70" s="129" t="n"/>
      <c r="AC70" s="129" t="n"/>
      <c r="AD70" s="129" t="n"/>
      <c r="AE70" s="129" t="n"/>
      <c r="AF70" s="129" t="n"/>
      <c r="AG70" s="129" t="n"/>
      <c r="AH70" s="129" t="n"/>
      <c r="AI70" s="129" t="n"/>
      <c r="AJ70" s="129" t="n"/>
      <c r="AK70" s="129" t="n"/>
    </row>
    <row r="71" ht="30" customHeight="1">
      <c r="A71" s="174" t="inlineStr">
        <is>
          <t>Q1 FORECAST UPDATE -- ANNUAL BUILD (helper: FY2026 Approved AOP annual revenue by segment, grossed up by the Q1 blended revenue-growth-surprise factor from row 65, column G -- used below to split Q2-Q4 FU quarterly revenue via the SAME FY2024-FY2025 seasonality weights the AOP used, row 12 cols C:E)</t>
        </is>
      </c>
      <c r="B71" s="218" t="n"/>
      <c r="C71" s="218" t="n"/>
      <c r="D71" s="218" t="n"/>
      <c r="E71" s="218" t="n"/>
      <c r="F71" s="218" t="n"/>
      <c r="G71" s="218" t="n"/>
      <c r="H71" s="218" t="n"/>
      <c r="I71" s="218" t="n"/>
      <c r="J71" s="218" t="n"/>
      <c r="K71" s="218" t="n"/>
      <c r="L71" s="218" t="n"/>
      <c r="M71" s="218" t="n"/>
      <c r="N71" s="218" t="n"/>
      <c r="O71" s="218" t="n"/>
      <c r="P71" s="218" t="n"/>
      <c r="Q71" s="218" t="n"/>
      <c r="R71" s="218" t="n"/>
      <c r="S71" s="218" t="n"/>
      <c r="T71" s="218" t="n"/>
      <c r="U71" s="218" t="n"/>
      <c r="V71" s="218" t="n"/>
      <c r="W71" s="218" t="n"/>
      <c r="X71" s="219" t="n"/>
      <c r="Y71" s="129" t="n"/>
      <c r="Z71" s="129" t="n"/>
      <c r="AA71" s="129" t="n"/>
      <c r="AB71" s="129" t="n"/>
      <c r="AC71" s="129" t="n"/>
      <c r="AD71" s="129" t="n"/>
      <c r="AE71" s="129" t="n"/>
      <c r="AF71" s="129" t="n"/>
      <c r="AG71" s="129" t="n"/>
      <c r="AH71" s="129" t="n"/>
      <c r="AI71" s="129" t="n"/>
      <c r="AJ71" s="129" t="n"/>
      <c r="AK71" s="129" t="n"/>
    </row>
    <row r="72">
      <c r="A72" s="137" t="inlineStr">
        <is>
          <t>Segment</t>
        </is>
      </c>
      <c r="B72" s="137" t="inlineStr">
        <is>
          <t>FY2026 Q1 Forecast Update Annual Revenue ($M)</t>
        </is>
      </c>
      <c r="C72" s="137" t="inlineStr">
        <is>
          <t>Basis</t>
        </is>
      </c>
      <c r="D72" s="218" t="n"/>
      <c r="E72" s="218" t="n"/>
      <c r="F72" s="218" t="n"/>
      <c r="G72" s="218" t="n"/>
      <c r="H72" s="218" t="n"/>
      <c r="I72" s="218" t="n"/>
      <c r="J72" s="218" t="n"/>
      <c r="K72" s="218" t="n"/>
      <c r="L72" s="218" t="n"/>
      <c r="M72" s="218" t="n"/>
      <c r="N72" s="218" t="n"/>
      <c r="O72" s="218" t="n"/>
      <c r="P72" s="218" t="n"/>
      <c r="Q72" s="218" t="n"/>
      <c r="R72" s="218" t="n"/>
      <c r="S72" s="218" t="n"/>
      <c r="T72" s="218" t="n"/>
      <c r="U72" s="218" t="n"/>
      <c r="V72" s="218" t="n"/>
      <c r="W72" s="218" t="n"/>
      <c r="X72" s="219" t="n"/>
      <c r="Y72" s="129" t="n"/>
      <c r="Z72" s="129" t="n"/>
      <c r="AA72" s="129" t="n"/>
      <c r="AB72" s="129" t="n"/>
      <c r="AC72" s="129" t="n"/>
      <c r="AD72" s="129" t="n"/>
      <c r="AE72" s="129" t="n"/>
      <c r="AF72" s="129" t="n"/>
      <c r="AG72" s="129" t="n"/>
      <c r="AH72" s="129" t="n"/>
      <c r="AI72" s="129" t="n"/>
      <c r="AJ72" s="129" t="n"/>
      <c r="AK72" s="129" t="n"/>
    </row>
    <row r="73">
      <c r="A73" s="127" t="inlineStr">
        <is>
          <t>iPhone: FY2026 Q1 FU Annual Revenue ($M)</t>
        </is>
      </c>
      <c r="B73" s="146">
        <f>B18*(1+$G$65)</f>
        <v>222237.850975898</v>
      </c>
      <c r="C73" s="154" t="inlineStr">
        <is>
          <t>FY2026 Approved AOP annual revenue (B18, still scenario-live) x (1 + Q1 dollar beat as % of AOP Annual Total, row 65 col G, ~+2.4%). Same uplift ratio applied to every segment/Services -- see Driver Adjustment Log row 65 for why (no quarterly segment actual to split it by) and for why this uses the ANNUAL total as the base, not AOP Q1 (preserves Base/Bull/Bear cascade in the Q2-Q4 Forecast Update total).</t>
        </is>
      </c>
      <c r="D73" s="218" t="n"/>
      <c r="E73" s="218" t="n"/>
      <c r="F73" s="218" t="n"/>
      <c r="G73" s="218" t="n"/>
      <c r="H73" s="218" t="n"/>
      <c r="I73" s="218" t="n"/>
      <c r="J73" s="218" t="n"/>
      <c r="K73" s="218" t="n"/>
      <c r="L73" s="218" t="n"/>
      <c r="M73" s="218" t="n"/>
      <c r="N73" s="218" t="n"/>
      <c r="O73" s="218" t="n"/>
      <c r="P73" s="218" t="n"/>
      <c r="Q73" s="218" t="n"/>
      <c r="R73" s="218" t="n"/>
      <c r="S73" s="218" t="n"/>
      <c r="T73" s="218" t="n"/>
      <c r="U73" s="218" t="n"/>
      <c r="V73" s="218" t="n"/>
      <c r="W73" s="218" t="n"/>
      <c r="X73" s="219" t="n"/>
      <c r="Y73" s="129" t="n"/>
      <c r="Z73" s="129" t="n"/>
      <c r="AA73" s="129" t="n"/>
      <c r="AB73" s="129" t="n"/>
      <c r="AC73" s="129" t="n"/>
      <c r="AD73" s="129" t="n"/>
      <c r="AE73" s="129" t="n"/>
      <c r="AF73" s="129" t="n"/>
      <c r="AG73" s="129" t="n"/>
      <c r="AH73" s="129" t="n"/>
      <c r="AI73" s="129" t="n"/>
      <c r="AJ73" s="129" t="n"/>
      <c r="AK73" s="129" t="n"/>
    </row>
    <row r="74">
      <c r="A74" s="127" t="inlineStr">
        <is>
          <t>Mac: FY2026 Q1 FU Annual Revenue ($M)</t>
        </is>
      </c>
      <c r="B74" s="146">
        <f>B21*(1+$G$65)</f>
        <v>36623.1791980023</v>
      </c>
      <c r="C74" s="154" t="inlineStr">
        <is>
          <t>FY2026 Approved AOP annual revenue (B21, still scenario-live) x (1 + Q1 dollar beat as % of AOP Annual Total, row 65 col G, ~+2.4%). Same uplift ratio applied to every segment/Services -- see Driver Adjustment Log row 65 for why (no quarterly segment actual to split it by) and for why this uses the ANNUAL total as the base, not AOP Q1 (preserves Base/Bull/Bear cascade in the Q2-Q4 Forecast Update total).</t>
        </is>
      </c>
      <c r="D74" s="218" t="n"/>
      <c r="E74" s="218" t="n"/>
      <c r="F74" s="218" t="n"/>
      <c r="G74" s="218" t="n"/>
      <c r="H74" s="218" t="n"/>
      <c r="I74" s="218" t="n"/>
      <c r="J74" s="218" t="n"/>
      <c r="K74" s="218" t="n"/>
      <c r="L74" s="218" t="n"/>
      <c r="M74" s="218" t="n"/>
      <c r="N74" s="218" t="n"/>
      <c r="O74" s="218" t="n"/>
      <c r="P74" s="218" t="n"/>
      <c r="Q74" s="218" t="n"/>
      <c r="R74" s="218" t="n"/>
      <c r="S74" s="218" t="n"/>
      <c r="T74" s="218" t="n"/>
      <c r="U74" s="218" t="n"/>
      <c r="V74" s="218" t="n"/>
      <c r="W74" s="218" t="n"/>
      <c r="X74" s="219" t="n"/>
      <c r="Y74" s="129" t="n"/>
      <c r="Z74" s="129" t="n"/>
      <c r="AA74" s="129" t="n"/>
      <c r="AB74" s="129" t="n"/>
      <c r="AC74" s="129" t="n"/>
      <c r="AD74" s="129" t="n"/>
      <c r="AE74" s="129" t="n"/>
      <c r="AF74" s="129" t="n"/>
      <c r="AG74" s="129" t="n"/>
      <c r="AH74" s="129" t="n"/>
      <c r="AI74" s="129" t="n"/>
      <c r="AJ74" s="129" t="n"/>
      <c r="AK74" s="129" t="n"/>
    </row>
    <row r="75">
      <c r="A75" s="127" t="inlineStr">
        <is>
          <t>iPad: FY2026 Q1 FU Annual Revenue ($M)</t>
        </is>
      </c>
      <c r="B75" s="146">
        <f>B24*(1+$G$65)</f>
        <v>29423.3141361811</v>
      </c>
      <c r="C75" s="154" t="inlineStr">
        <is>
          <t>FY2026 Approved AOP annual revenue (B24, still scenario-live) x (1 + Q1 dollar beat as % of AOP Annual Total, row 65 col G, ~+2.4%). Same uplift ratio applied to every segment/Services -- see Driver Adjustment Log row 65 for why (no quarterly segment actual to split it by) and for why this uses the ANNUAL total as the base, not AOP Q1 (preserves Base/Bull/Bear cascade in the Q2-Q4 Forecast Update total).</t>
        </is>
      </c>
      <c r="D75" s="218" t="n"/>
      <c r="E75" s="218" t="n"/>
      <c r="F75" s="218" t="n"/>
      <c r="G75" s="218" t="n"/>
      <c r="H75" s="218" t="n"/>
      <c r="I75" s="218" t="n"/>
      <c r="J75" s="218" t="n"/>
      <c r="K75" s="218" t="n"/>
      <c r="L75" s="218" t="n"/>
      <c r="M75" s="218" t="n"/>
      <c r="N75" s="218" t="n"/>
      <c r="O75" s="218" t="n"/>
      <c r="P75" s="218" t="n"/>
      <c r="Q75" s="218" t="n"/>
      <c r="R75" s="218" t="n"/>
      <c r="S75" s="218" t="n"/>
      <c r="T75" s="218" t="n"/>
      <c r="U75" s="218" t="n"/>
      <c r="V75" s="218" t="n"/>
      <c r="W75" s="218" t="n"/>
      <c r="X75" s="219" t="n"/>
      <c r="Y75" s="129" t="n"/>
      <c r="Z75" s="129" t="n"/>
      <c r="AA75" s="129" t="n"/>
      <c r="AB75" s="129" t="n"/>
      <c r="AC75" s="129" t="n"/>
      <c r="AD75" s="129" t="n"/>
      <c r="AE75" s="129" t="n"/>
      <c r="AF75" s="129" t="n"/>
      <c r="AG75" s="129" t="n"/>
      <c r="AH75" s="129" t="n"/>
      <c r="AI75" s="129" t="n"/>
      <c r="AJ75" s="129" t="n"/>
      <c r="AK75" s="129" t="n"/>
    </row>
    <row r="76">
      <c r="A76" s="127" t="inlineStr">
        <is>
          <t>Wearables, Home and Accessories: FY2026 Q1 FU Annual Revenue ($M)</t>
        </is>
      </c>
      <c r="B76" s="146">
        <f>B27*(1+$G$65)</f>
        <v>36546.3479904041</v>
      </c>
      <c r="C76" s="154" t="inlineStr">
        <is>
          <t>FY2026 Approved AOP annual revenue (B27, still scenario-live) x (1 + Q1 dollar beat as % of AOP Annual Total, row 65 col G, ~+2.4%). Same uplift ratio applied to every segment/Services -- see Driver Adjustment Log row 65 for why (no quarterly segment actual to split it by) and for why this uses the ANNUAL total as the base, not AOP Q1 (preserves Base/Bull/Bear cascade in the Q2-Q4 Forecast Update total).</t>
        </is>
      </c>
      <c r="D76" s="218" t="n"/>
      <c r="E76" s="218" t="n"/>
      <c r="F76" s="218" t="n"/>
      <c r="G76" s="218" t="n"/>
      <c r="H76" s="218" t="n"/>
      <c r="I76" s="218" t="n"/>
      <c r="J76" s="218" t="n"/>
      <c r="K76" s="218" t="n"/>
      <c r="L76" s="218" t="n"/>
      <c r="M76" s="218" t="n"/>
      <c r="N76" s="218" t="n"/>
      <c r="O76" s="218" t="n"/>
      <c r="P76" s="218" t="n"/>
      <c r="Q76" s="218" t="n"/>
      <c r="R76" s="218" t="n"/>
      <c r="S76" s="218" t="n"/>
      <c r="T76" s="218" t="n"/>
      <c r="U76" s="218" t="n"/>
      <c r="V76" s="218" t="n"/>
      <c r="W76" s="218" t="n"/>
      <c r="X76" s="219" t="n"/>
      <c r="Y76" s="129" t="n"/>
      <c r="Z76" s="129" t="n"/>
      <c r="AA76" s="129" t="n"/>
      <c r="AB76" s="129" t="n"/>
      <c r="AC76" s="129" t="n"/>
      <c r="AD76" s="129" t="n"/>
      <c r="AE76" s="129" t="n"/>
      <c r="AF76" s="129" t="n"/>
      <c r="AG76" s="129" t="n"/>
      <c r="AH76" s="129" t="n"/>
      <c r="AI76" s="129" t="n"/>
      <c r="AJ76" s="129" t="n"/>
      <c r="AK76" s="129" t="n"/>
    </row>
    <row r="77">
      <c r="A77" s="127" t="inlineStr">
        <is>
          <t>Services: FY2026 Q1 FU Annual Revenue ($M)</t>
        </is>
      </c>
      <c r="B77" s="146">
        <f>B30*(1+$G$65)</f>
        <v>126195.212390456</v>
      </c>
      <c r="C77" s="154" t="inlineStr">
        <is>
          <t>FY2026 Approved AOP annual revenue (B30, still scenario-live) x (1 + Q1 dollar beat as % of AOP Annual Total, row 65 col G, ~+2.4%). Same uplift ratio applied to every segment/Services -- see Driver Adjustment Log row 65 for why (no quarterly segment actual to split it by) and for why this uses the ANNUAL total as the base, not AOP Q1 (preserves Base/Bull/Bear cascade in the Q2-Q4 Forecast Update total).</t>
        </is>
      </c>
      <c r="D77" s="218" t="n"/>
      <c r="E77" s="218" t="n"/>
      <c r="F77" s="218" t="n"/>
      <c r="G77" s="218" t="n"/>
      <c r="H77" s="218" t="n"/>
      <c r="I77" s="218" t="n"/>
      <c r="J77" s="218" t="n"/>
      <c r="K77" s="218" t="n"/>
      <c r="L77" s="218" t="n"/>
      <c r="M77" s="218" t="n"/>
      <c r="N77" s="218" t="n"/>
      <c r="O77" s="218" t="n"/>
      <c r="P77" s="218" t="n"/>
      <c r="Q77" s="218" t="n"/>
      <c r="R77" s="218" t="n"/>
      <c r="S77" s="218" t="n"/>
      <c r="T77" s="218" t="n"/>
      <c r="U77" s="218" t="n"/>
      <c r="V77" s="218" t="n"/>
      <c r="W77" s="218" t="n"/>
      <c r="X77" s="219" t="n"/>
      <c r="Y77" s="129" t="n"/>
      <c r="Z77" s="129" t="n"/>
      <c r="AA77" s="129" t="n"/>
      <c r="AB77" s="129" t="n"/>
      <c r="AC77" s="129" t="n"/>
      <c r="AD77" s="129" t="n"/>
      <c r="AE77" s="129" t="n"/>
      <c r="AF77" s="129" t="n"/>
      <c r="AG77" s="129" t="n"/>
      <c r="AH77" s="129" t="n"/>
      <c r="AI77" s="129" t="n"/>
      <c r="AJ77" s="129" t="n"/>
      <c r="AK77" s="129" t="n"/>
    </row>
    <row r="78">
      <c r="A78" s="164" t="inlineStr">
        <is>
          <t>Total FY2026 Q1 FU Annual Revenue ($M)</t>
        </is>
      </c>
      <c r="B78" s="146">
        <f>B73+B74+B75+B76+B77</f>
        <v>451025.904690941</v>
      </c>
      <c r="C78" s="129" t="n"/>
      <c r="D78" s="129" t="n"/>
      <c r="E78" s="129" t="n"/>
      <c r="F78" s="129" t="n"/>
      <c r="G78" s="129" t="n"/>
      <c r="H78" s="129" t="n"/>
      <c r="I78" s="129" t="n"/>
      <c r="J78" s="129" t="n"/>
      <c r="K78" s="129" t="n"/>
      <c r="L78" s="129" t="n"/>
      <c r="M78" s="129" t="n"/>
      <c r="N78" s="129" t="n"/>
      <c r="O78" s="129" t="n"/>
      <c r="P78" s="129" t="n"/>
      <c r="Q78" s="129" t="n"/>
      <c r="R78" s="129" t="n"/>
      <c r="S78" s="129" t="n"/>
      <c r="T78" s="129" t="n"/>
      <c r="U78" s="129" t="n"/>
      <c r="V78" s="129" t="n"/>
      <c r="W78" s="129" t="n"/>
      <c r="X78" s="129" t="n"/>
      <c r="Y78" s="129" t="n"/>
      <c r="Z78" s="129" t="n"/>
      <c r="AA78" s="129" t="n"/>
      <c r="AB78" s="129" t="n"/>
      <c r="AC78" s="129" t="n"/>
      <c r="AD78" s="129" t="n"/>
      <c r="AE78" s="129" t="n"/>
      <c r="AF78" s="129" t="n"/>
      <c r="AG78" s="129" t="n"/>
      <c r="AH78" s="129" t="n"/>
      <c r="AI78" s="129" t="n"/>
      <c r="AJ78" s="129" t="n"/>
      <c r="AK78" s="129" t="n"/>
    </row>
    <row r="79">
      <c r="A79" s="129" t="n"/>
      <c r="B79" s="129" t="n"/>
      <c r="C79" s="129" t="n"/>
      <c r="D79" s="129" t="n"/>
      <c r="E79" s="129" t="n"/>
      <c r="F79" s="129" t="n"/>
      <c r="G79" s="129" t="n"/>
      <c r="H79" s="129" t="n"/>
      <c r="I79" s="129" t="n"/>
      <c r="J79" s="129" t="n"/>
      <c r="K79" s="129" t="n"/>
      <c r="L79" s="129" t="n"/>
      <c r="M79" s="129" t="n"/>
      <c r="N79" s="129" t="n"/>
      <c r="O79" s="129" t="n"/>
      <c r="P79" s="129" t="n"/>
      <c r="Q79" s="129" t="n"/>
      <c r="R79" s="129" t="n"/>
      <c r="S79" s="129" t="n"/>
      <c r="T79" s="129" t="n"/>
      <c r="U79" s="129" t="n"/>
      <c r="V79" s="129" t="n"/>
      <c r="W79" s="129" t="n"/>
      <c r="X79" s="129" t="n"/>
      <c r="Y79" s="129" t="n"/>
      <c r="Z79" s="129" t="n"/>
      <c r="AA79" s="129" t="n"/>
      <c r="AB79" s="129" t="n"/>
      <c r="AC79" s="129" t="n"/>
      <c r="AD79" s="129" t="n"/>
      <c r="AE79" s="129" t="n"/>
      <c r="AF79" s="129" t="n"/>
      <c r="AG79" s="129" t="n"/>
      <c r="AH79" s="129" t="n"/>
      <c r="AI79" s="129" t="n"/>
      <c r="AJ79" s="129" t="n"/>
      <c r="AK79" s="129" t="n"/>
    </row>
    <row r="80" ht="40" customHeight="1">
      <c r="A80" s="154" t="inlineStr">
        <is>
          <t>Color legend (Q1 Forecast Update block): dark grey header = Q1 FY2026 Actual (mirrors historical col J); orange header/light orange cells = Q1 vs AOP Variance; green header/light green cells = Q1 Forecast Update formula output (still references Drivers Active named ranges); amber cells = a material Q1-actual driver adjustment overriding the corresponding Drivers Active assumption for Q2-Q4 (R&amp;D%, SG&amp;A%, Tax/Other%, and the annual-build revenue uplift); light grey Total column = Q1 Actual + Q2-Q4 FU. Materiality threshold: &gt;3% relative variance (see row 61).</t>
        </is>
      </c>
      <c r="B80" s="218" t="n"/>
      <c r="C80" s="218" t="n"/>
      <c r="D80" s="218" t="n"/>
      <c r="E80" s="218" t="n"/>
      <c r="F80" s="218" t="n"/>
      <c r="G80" s="218" t="n"/>
      <c r="H80" s="218" t="n"/>
      <c r="I80" s="218" t="n"/>
      <c r="J80" s="218" t="n"/>
      <c r="K80" s="218" t="n"/>
      <c r="L80" s="218" t="n"/>
      <c r="M80" s="218" t="n"/>
      <c r="N80" s="218" t="n"/>
      <c r="O80" s="218" t="n"/>
      <c r="P80" s="218" t="n"/>
      <c r="Q80" s="218" t="n"/>
      <c r="R80" s="218" t="n"/>
      <c r="S80" s="218" t="n"/>
      <c r="T80" s="218" t="n"/>
      <c r="U80" s="218" t="n"/>
      <c r="V80" s="218" t="n"/>
      <c r="W80" s="218" t="n"/>
      <c r="X80" s="219" t="n"/>
      <c r="Y80" s="129" t="n"/>
      <c r="Z80" s="129" t="n"/>
      <c r="AA80" s="129" t="n"/>
      <c r="AB80" s="129" t="n"/>
      <c r="AC80" s="129" t="n"/>
      <c r="AD80" s="129" t="n"/>
      <c r="AE80" s="129" t="n"/>
      <c r="AF80" s="129" t="n"/>
      <c r="AG80" s="129" t="n"/>
      <c r="AH80" s="129" t="n"/>
      <c r="AI80" s="129" t="n"/>
      <c r="AJ80" s="129" t="n"/>
      <c r="AK80" s="129" t="n"/>
    </row>
    <row r="81">
      <c r="A81" s="129" t="n"/>
      <c r="B81" s="129" t="n"/>
      <c r="C81" s="129" t="n"/>
      <c r="D81" s="129" t="n"/>
      <c r="E81" s="129" t="n"/>
      <c r="F81" s="129" t="n"/>
      <c r="G81" s="129" t="n"/>
      <c r="H81" s="129" t="n"/>
      <c r="I81" s="129" t="n"/>
      <c r="J81" s="129" t="n"/>
      <c r="K81" s="129" t="n"/>
      <c r="L81" s="129" t="n"/>
      <c r="M81" s="129" t="n"/>
      <c r="N81" s="129" t="n"/>
      <c r="O81" s="129" t="n"/>
      <c r="P81" s="129" t="n"/>
      <c r="Q81" s="129" t="n"/>
      <c r="R81" s="129" t="n"/>
      <c r="S81" s="129" t="n"/>
      <c r="T81" s="129" t="n"/>
      <c r="U81" s="129" t="n"/>
      <c r="V81" s="129" t="n"/>
      <c r="W81" s="129" t="n"/>
      <c r="X81" s="129" t="n"/>
      <c r="Y81" s="129" t="n"/>
      <c r="Z81" s="129" t="n"/>
      <c r="AA81" s="129" t="n"/>
      <c r="AB81" s="129" t="n"/>
      <c r="AC81" s="129" t="n"/>
      <c r="AD81" s="129" t="n"/>
      <c r="AE81" s="129" t="n"/>
      <c r="AF81" s="129" t="n"/>
      <c r="AG81" s="129" t="n"/>
      <c r="AH81" s="129" t="n"/>
      <c r="AI81" s="129" t="n"/>
      <c r="AJ81" s="129" t="n"/>
      <c r="AK81" s="129" t="n"/>
    </row>
    <row r="82" ht="42" customHeight="1">
      <c r="A82" s="174" t="inlineStr">
        <is>
          <t>Q3 REFORECAST -- third rolling-forecast vintage in the chain (FY2026 Approved AOP -&gt; Q1 FY2026 Actual -&gt; Q1 Forecast Update -&gt; Q3 Reforecast). This is the CURRENT / LIVE forecast: Q1 and Q2 FY2026 are both real reported actuals now; only Q3-Q4 remain forecast. Materiality threshold: a Q2 Actual vs. Q1 Forecast Update's own Q2 driver variance is carried forward into the Q3-Q4 Reforecast columns (AB:AC) only where ABS(relative variance) &gt; 3% -- the SAME threshold Task 13 established. Variances at or below 3% are treated as noise and the Q1 Forecast Update's own assumption is retained unchanged.</t>
        </is>
      </c>
      <c r="B82" s="218" t="n"/>
      <c r="C82" s="218" t="n"/>
      <c r="D82" s="218" t="n"/>
      <c r="E82" s="218" t="n"/>
      <c r="F82" s="218" t="n"/>
      <c r="G82" s="218" t="n"/>
      <c r="H82" s="218" t="n"/>
      <c r="I82" s="218" t="n"/>
      <c r="J82" s="218" t="n"/>
      <c r="K82" s="218" t="n"/>
      <c r="L82" s="218" t="n"/>
      <c r="M82" s="218" t="n"/>
      <c r="N82" s="218" t="n"/>
      <c r="O82" s="218" t="n"/>
      <c r="P82" s="218" t="n"/>
      <c r="Q82" s="218" t="n"/>
      <c r="R82" s="218" t="n"/>
      <c r="S82" s="218" t="n"/>
      <c r="T82" s="218" t="n"/>
      <c r="U82" s="218" t="n"/>
      <c r="V82" s="218" t="n"/>
      <c r="W82" s="218" t="n"/>
      <c r="X82" s="218" t="n"/>
      <c r="Y82" s="218" t="n"/>
      <c r="Z82" s="218" t="n"/>
      <c r="AA82" s="218" t="n"/>
      <c r="AB82" s="218" t="n"/>
      <c r="AC82" s="218" t="n"/>
      <c r="AD82" s="218" t="n"/>
      <c r="AE82" s="219" t="n"/>
      <c r="AF82" s="129" t="n"/>
      <c r="AG82" s="129" t="n"/>
      <c r="AH82" s="129" t="n"/>
      <c r="AI82" s="129" t="n"/>
      <c r="AJ82" s="129" t="n"/>
      <c r="AK82" s="129" t="n"/>
    </row>
    <row r="83">
      <c r="A83" s="129" t="n"/>
      <c r="B83" s="129" t="n"/>
      <c r="C83" s="129" t="n"/>
      <c r="D83" s="129" t="n"/>
      <c r="E83" s="129" t="n"/>
      <c r="F83" s="129" t="n"/>
      <c r="G83" s="129" t="n"/>
      <c r="H83" s="129" t="n"/>
      <c r="I83" s="129" t="n"/>
      <c r="J83" s="129" t="n"/>
      <c r="K83" s="129" t="n"/>
      <c r="L83" s="129" t="n"/>
      <c r="M83" s="129" t="n"/>
      <c r="N83" s="129" t="n"/>
      <c r="O83" s="129" t="n"/>
      <c r="P83" s="129" t="n"/>
      <c r="Q83" s="129" t="n"/>
      <c r="R83" s="129" t="n"/>
      <c r="S83" s="129" t="n"/>
      <c r="T83" s="129" t="n"/>
      <c r="U83" s="129" t="n"/>
      <c r="V83" s="129" t="n"/>
      <c r="W83" s="129" t="n"/>
      <c r="X83" s="129" t="n"/>
      <c r="Y83" s="129" t="n"/>
      <c r="Z83" s="129" t="n"/>
      <c r="AA83" s="129" t="n"/>
      <c r="AB83" s="129" t="n"/>
      <c r="AC83" s="129" t="n"/>
      <c r="AD83" s="129" t="n"/>
      <c r="AE83" s="129" t="n"/>
      <c r="AF83" s="129" t="n"/>
      <c r="AG83" s="129" t="n"/>
      <c r="AH83" s="129" t="n"/>
      <c r="AI83" s="129" t="n"/>
      <c r="AJ83" s="129" t="n"/>
      <c r="AK83" s="129" t="n"/>
    </row>
    <row r="84" ht="16" customHeight="1">
      <c r="A84" s="138" t="inlineStr">
        <is>
          <t>DRIVER ADJUSTMENT LOG -- Q2 FY2026 Actual vs. Q1 Forecast Update's own Q2 assumption (each row below is a real formula referencing the IS tab's own Q2 Actual / Q1 FU Q2 cells; nothing here is hardcoded)</t>
        </is>
      </c>
      <c r="B84" s="218" t="n"/>
      <c r="C84" s="218" t="n"/>
      <c r="D84" s="218" t="n"/>
      <c r="E84" s="218" t="n"/>
      <c r="F84" s="218" t="n"/>
      <c r="G84" s="218" t="n"/>
      <c r="H84" s="218" t="n"/>
      <c r="I84" s="218" t="n"/>
      <c r="J84" s="218" t="n"/>
      <c r="K84" s="218" t="n"/>
      <c r="L84" s="218" t="n"/>
      <c r="M84" s="218" t="n"/>
      <c r="N84" s="218" t="n"/>
      <c r="O84" s="218" t="n"/>
      <c r="P84" s="218" t="n"/>
      <c r="Q84" s="218" t="n"/>
      <c r="R84" s="218" t="n"/>
      <c r="S84" s="218" t="n"/>
      <c r="T84" s="218" t="n"/>
      <c r="U84" s="218" t="n"/>
      <c r="V84" s="218" t="n"/>
      <c r="W84" s="218" t="n"/>
      <c r="X84" s="218" t="n"/>
      <c r="Y84" s="218" t="n"/>
      <c r="Z84" s="218" t="n"/>
      <c r="AA84" s="218" t="n"/>
      <c r="AB84" s="218" t="n"/>
      <c r="AC84" s="218" t="n"/>
      <c r="AD84" s="218" t="n"/>
      <c r="AE84" s="219" t="n"/>
      <c r="AF84" s="129" t="n"/>
      <c r="AG84" s="129" t="n"/>
      <c r="AH84" s="129" t="n"/>
      <c r="AI84" s="129" t="n"/>
      <c r="AJ84" s="129" t="n"/>
      <c r="AK84" s="129" t="n"/>
    </row>
    <row r="85" ht="28" customHeight="1">
      <c r="A85" s="137" t="inlineStr">
        <is>
          <t>Driver</t>
        </is>
      </c>
      <c r="B85" s="137" t="inlineStr">
        <is>
          <t>Q2 Actual</t>
        </is>
      </c>
      <c r="C85" s="137" t="inlineStr">
        <is>
          <t>Q1 FU Q2 Assumption</t>
        </is>
      </c>
      <c r="D85" s="137" t="inlineStr">
        <is>
          <t>Variance (abs / pp)</t>
        </is>
      </c>
      <c r="E85" s="137" t="inlineStr">
        <is>
          <t>Variance (% relative)</t>
        </is>
      </c>
      <c r="F85" s="137" t="inlineStr">
        <is>
          <t>Material? (&gt;3% relative)</t>
        </is>
      </c>
      <c r="G85" s="137" t="inlineStr">
        <is>
          <t>Adjusted Value -&gt; Q3-Q4 RF (live IF(), mirrors col F -- never a static/hardcoded choice)</t>
        </is>
      </c>
      <c r="H85" s="137" t="inlineStr">
        <is>
          <t>Rationale (plain language)</t>
        </is>
      </c>
      <c r="I85" s="218" t="n"/>
      <c r="J85" s="218" t="n"/>
      <c r="K85" s="218" t="n"/>
      <c r="L85" s="218" t="n"/>
      <c r="M85" s="218" t="n"/>
      <c r="N85" s="218" t="n"/>
      <c r="O85" s="218" t="n"/>
      <c r="P85" s="218" t="n"/>
      <c r="Q85" s="218" t="n"/>
      <c r="R85" s="218" t="n"/>
      <c r="S85" s="218" t="n"/>
      <c r="T85" s="218" t="n"/>
      <c r="U85" s="218" t="n"/>
      <c r="V85" s="218" t="n"/>
      <c r="W85" s="218" t="n"/>
      <c r="X85" s="218" t="n"/>
      <c r="Y85" s="218" t="n"/>
      <c r="Z85" s="218" t="n"/>
      <c r="AA85" s="218" t="n"/>
      <c r="AB85" s="218" t="n"/>
      <c r="AC85" s="218" t="n"/>
      <c r="AD85" s="218" t="n"/>
      <c r="AE85" s="219" t="n"/>
      <c r="AF85" s="129" t="n"/>
      <c r="AG85" s="129" t="n"/>
      <c r="AH85" s="129" t="n"/>
      <c r="AI85" s="129" t="n"/>
      <c r="AJ85" s="129" t="n"/>
      <c r="AK85" s="129" t="n"/>
    </row>
    <row r="86" ht="60" customHeight="1">
      <c r="A86" s="131" t="inlineStr">
        <is>
          <t>Consolidated Net Sales (blended Units x ASP x FX x Mix growth proxy -- Historical Database still has no quarterly segment split, so the beat cannot be attributed to a specific product line; see Task 12/13 notes). NOTE: column G here is expressed as a % of the Q1 Forecast Update's ANNUAL total (col G = D/ABS(B78)), not of the Q1 FU Q2 quarter (col E) -- deliberately, for the SAME reason Task 13 established for its own revenue row: dividing by the Q1 FU Q2 quarter instead would algebraically cancel the scenario dependency out of the Q3-Q4 Reforecast entirely (Q1FUQ2(scenario) x [1 + (Actual-Q1FUQ2)/Q1FUQ2(scenario)] = Actual regardless of scenario). Verified this does NOT cancel here (see toggle test in the task report) before shipping -- learned directly from Task 13's post-review bug.</t>
        </is>
      </c>
      <c r="B86" s="146">
        <f>Y41</f>
        <v>111184</v>
      </c>
      <c r="C86" s="146">
        <f>T41</f>
        <v>104011.933718506</v>
      </c>
      <c r="D86" s="146">
        <f>B86-C86</f>
        <v>7172.06628149386</v>
      </c>
      <c r="E86" s="142">
        <f>D86/ABS(C86)</f>
        <v>0.0689542634684983</v>
      </c>
      <c r="F86" s="175" t="str">
        <f>IF(ABS(E86)&gt;0.03,"Y -- carried forward","N -- immaterial, Q1 FU retained")</f>
        <v>Y -- carried forward</v>
      </c>
      <c r="G86" s="146">
        <f>IF(ABS(E86)&gt;0.03,D86/ABS(B78),0)</f>
        <v>0.0159016726243439</v>
      </c>
      <c r="H86" s="143" t="inlineStr">
        <is>
          <t>Q2 FY2026 actual net sales beat the Q1 Forecast Update's own Q2 assumption (col C) by roughly +$7.2B / +6.9% (col E) -- well above the 3% threshold, so col G evaluates its IF()'s TRUE branch: the beat is carried forward as a uniform annual-revenue uplift (~+1.6% of the Q1 FU Annual Total) applied to all five revenue streams' Q3-Q4 annual-build revenue (rows 94-98) -- i.e. the Q1 Forecast Update's own full-year revenue path is raised further by the Q2 dollar beat -- rather than reverting to the Q1 FU's unmodified Q3-Q4 path. If a future scenario toggle ever makes this variance immaterial (&lt;=3%), col G's FALSE branch (0) means the annual build correctly falls back to the unmodified Q1 FU annual revenue (B94=B73*(1+0)=B73, and likewise for the other four segments).</t>
        </is>
      </c>
      <c r="I86" s="218" t="n"/>
      <c r="J86" s="218" t="n"/>
      <c r="K86" s="218" t="n"/>
      <c r="L86" s="218" t="n"/>
      <c r="M86" s="218" t="n"/>
      <c r="N86" s="218" t="n"/>
      <c r="O86" s="218" t="n"/>
      <c r="P86" s="218" t="n"/>
      <c r="Q86" s="218" t="n"/>
      <c r="R86" s="218" t="n"/>
      <c r="S86" s="218" t="n"/>
      <c r="T86" s="218" t="n"/>
      <c r="U86" s="218" t="n"/>
      <c r="V86" s="218" t="n"/>
      <c r="W86" s="218" t="n"/>
      <c r="X86" s="218" t="n"/>
      <c r="Y86" s="218" t="n"/>
      <c r="Z86" s="218" t="n"/>
      <c r="AA86" s="218" t="n"/>
      <c r="AB86" s="218" t="n"/>
      <c r="AC86" s="218" t="n"/>
      <c r="AD86" s="218" t="n"/>
      <c r="AE86" s="219" t="n"/>
      <c r="AF86" s="129" t="n"/>
      <c r="AG86" s="129" t="n"/>
      <c r="AH86" s="129" t="n"/>
      <c r="AI86" s="129" t="n"/>
      <c r="AJ86" s="129" t="n"/>
      <c r="AK86" s="129" t="n"/>
    </row>
    <row r="87" ht="60" customHeight="1">
      <c r="A87" s="131" t="inlineStr">
        <is>
          <t>Blended Gross Margin % (vs. Q1 Forecast Update's own Q2 GM%, itself Products_GM_Active / Services_GM_Active mix)</t>
        </is>
      </c>
      <c r="B87" s="142">
        <f>Y45</f>
        <v>0.492705785005037</v>
      </c>
      <c r="C87" s="142">
        <f>T45</f>
        <v>0.477721432993118</v>
      </c>
      <c r="D87" s="142">
        <f>B87-C87</f>
        <v>0.0149843520119192</v>
      </c>
      <c r="E87" s="142">
        <f>D87/ABS(C87)</f>
        <v>0.0313662962912008</v>
      </c>
      <c r="F87" s="175" t="str">
        <f>IF(ABS(E87)&gt;0.03,"Y -- carried forward","N -- immaterial, Q1 FU retained")</f>
        <v>Y -- carried forward</v>
      </c>
      <c r="G87" s="142">
        <f>IF(ABS(E87)&gt;0.03,B87,C87)</f>
        <v>0.492705785005037</v>
      </c>
      <c r="H87" s="143" t="inlineStr">
        <is>
          <t>Q2 actual GM% came in ~+1.5pp / +3.1% relative above the Q1 Forecast Update's own Q2 assumption -- just above the 3% materiality threshold, so col G's IF() evaluates to its TRUE branch (the actual GM%, col B). Carried forward: Q3-Q4 Reforecast gross margin is computed as Net Sales x col G (the adjusted blended GM%) instead of the Products_GM_Active / Services_GM_Active segment mix Task 12/13 used, reflecting the realized Q2 margin mix rather than the AOP's original assumption. This is a borderline call (3.1% vs. the 3.0% threshold) -- flagged explicitly since a reviewer applying a slightly different rounding convention could reasonably land on 'immaterial' instead; col G is a live IF() so it will automatically flip to col C (the Q1 FU assumption, itself Products_GM_Active/Services_GM_Active-based) if a scenario toggle ever pushes this variance to or below 3%.</t>
        </is>
      </c>
      <c r="I87" s="218" t="n"/>
      <c r="J87" s="218" t="n"/>
      <c r="K87" s="218" t="n"/>
      <c r="L87" s="218" t="n"/>
      <c r="M87" s="218" t="n"/>
      <c r="N87" s="218" t="n"/>
      <c r="O87" s="218" t="n"/>
      <c r="P87" s="218" t="n"/>
      <c r="Q87" s="218" t="n"/>
      <c r="R87" s="218" t="n"/>
      <c r="S87" s="218" t="n"/>
      <c r="T87" s="218" t="n"/>
      <c r="U87" s="218" t="n"/>
      <c r="V87" s="218" t="n"/>
      <c r="W87" s="218" t="n"/>
      <c r="X87" s="218" t="n"/>
      <c r="Y87" s="218" t="n"/>
      <c r="Z87" s="218" t="n"/>
      <c r="AA87" s="218" t="n"/>
      <c r="AB87" s="218" t="n"/>
      <c r="AC87" s="218" t="n"/>
      <c r="AD87" s="218" t="n"/>
      <c r="AE87" s="219" t="n"/>
      <c r="AF87" s="129" t="n"/>
      <c r="AG87" s="129" t="n"/>
      <c r="AH87" s="129" t="n"/>
      <c r="AI87" s="129" t="n"/>
      <c r="AJ87" s="129" t="n"/>
      <c r="AK87" s="129" t="n"/>
    </row>
    <row r="88" ht="60" customHeight="1">
      <c r="A88" s="131" t="inlineStr">
        <is>
          <t>R&amp;D as % of Net Sales (vs. Q1 Forecast Update's own Q2 R&amp;D%, itself the pinned Q1-actual ratio)</t>
        </is>
      </c>
      <c r="B88" s="142">
        <f>Y47/Y41</f>
        <v>0.102703626421068</v>
      </c>
      <c r="C88" s="142">
        <f>T47/T41</f>
        <v>0.0757324911655861</v>
      </c>
      <c r="D88" s="142">
        <f>B88-C88</f>
        <v>0.0269711352554817</v>
      </c>
      <c r="E88" s="142">
        <f>D88/ABS(C88)</f>
        <v>0.356136908219622</v>
      </c>
      <c r="F88" s="175" t="str">
        <f>IF(ABS(E88)&gt;0.03,"Y -- carried forward","N -- immaterial, Q1 FU retained")</f>
        <v>Y -- carried forward</v>
      </c>
      <c r="G88" s="142">
        <f>IF(ABS(E88)&gt;0.03,B88,C88)</f>
        <v>0.102703626421068</v>
      </c>
      <c r="H88" s="143" t="inlineStr">
        <is>
          <t>Q2 actual R&amp;D ran at ~10.3% of net sales, well ABOVE both the Q1 Forecast Update's Q2 assumption (~7.6%, itself pinned to Q1's unusually low actual ratio) and even the original AOP's 8.3% Base assumption -- a +2.7pp / +35.6% relative variance, far above threshold, so col G's IF() evaluates to its TRUE branch (the Q2 actual ratio, col B). This looks like a reversion: Q1's R&amp;D ratio was unusually depressed (likely spend timing/phasing), and Q2 shows R&amp;D spend catching back up and then some. Carried forward: Q3-Q4 Reforecast R&amp;D uses the Q2 actual ratio (~10.3%) instead of continuing the Q1 Forecast Update's lower ~7.6%. Col G is a live IF() -- if a scenario toggle ever pushed this variance within 3%, col G would automatically fall back to col C (the Q1 FU's own Q2 assumption).</t>
        </is>
      </c>
      <c r="I88" s="218" t="n"/>
      <c r="J88" s="218" t="n"/>
      <c r="K88" s="218" t="n"/>
      <c r="L88" s="218" t="n"/>
      <c r="M88" s="218" t="n"/>
      <c r="N88" s="218" t="n"/>
      <c r="O88" s="218" t="n"/>
      <c r="P88" s="218" t="n"/>
      <c r="Q88" s="218" t="n"/>
      <c r="R88" s="218" t="n"/>
      <c r="S88" s="218" t="n"/>
      <c r="T88" s="218" t="n"/>
      <c r="U88" s="218" t="n"/>
      <c r="V88" s="218" t="n"/>
      <c r="W88" s="218" t="n"/>
      <c r="X88" s="218" t="n"/>
      <c r="Y88" s="218" t="n"/>
      <c r="Z88" s="218" t="n"/>
      <c r="AA88" s="218" t="n"/>
      <c r="AB88" s="218" t="n"/>
      <c r="AC88" s="218" t="n"/>
      <c r="AD88" s="218" t="n"/>
      <c r="AE88" s="219" t="n"/>
      <c r="AF88" s="129" t="n"/>
      <c r="AG88" s="129" t="n"/>
      <c r="AH88" s="129" t="n"/>
      <c r="AI88" s="129" t="n"/>
      <c r="AJ88" s="129" t="n"/>
      <c r="AK88" s="129" t="n"/>
    </row>
    <row r="89" ht="60" customHeight="1">
      <c r="A89" s="131" t="inlineStr">
        <is>
          <t>SG&amp;A as % of Net Sales (vs. Q1 Forecast Update's own Q2 SG&amp;A%, itself the pinned Q1-actual ratio)</t>
        </is>
      </c>
      <c r="B89" s="142">
        <f>Y48/Y41</f>
        <v>0.0672488847316161</v>
      </c>
      <c r="C89" s="142">
        <f>T48/T41</f>
        <v>0.052116085589471</v>
      </c>
      <c r="D89" s="142">
        <f>B89-C89</f>
        <v>0.015132799142145</v>
      </c>
      <c r="E89" s="142">
        <f>D89/ABS(C89)</f>
        <v>0.290367148088387</v>
      </c>
      <c r="F89" s="175" t="str">
        <f>IF(ABS(E89)&gt;0.03,"Y -- carried forward","N -- immaterial, Q1 FU retained")</f>
        <v>Y -- carried forward</v>
      </c>
      <c r="G89" s="142">
        <f>IF(ABS(E89)&gt;0.03,B89,C89)</f>
        <v>0.0672488847316161</v>
      </c>
      <c r="H89" s="143" t="inlineStr">
        <is>
          <t>Q2 actual SG&amp;A ran at ~6.7% of net sales vs. the Q1 Forecast Update's Q2 assumption of ~5.2% (itself pinned to Q1's unusually low actual ratio) -- a +1.5pp / +29.0% relative variance, well above threshold, so col G's IF() evaluates to its TRUE branch (the Q2 actual ratio, col B). Same reversion pattern as R&amp;D above: Q1's SG&amp;A ratio was unusually depressed, and Q2 shows a partial catch-up (still below the original AOP's 6.6% Base assumption, but clearly above the Q1-anchored 5.2%). Carried forward: Q3-Q4 Reforecast SG&amp;A uses the Q2 actual ratio (~6.7%) instead of continuing the Q1 Forecast Update's lower ~5.2%. Col G is a live IF() re-testing col E, not a value baked in from the Base scenario.</t>
        </is>
      </c>
      <c r="I89" s="218" t="n"/>
      <c r="J89" s="218" t="n"/>
      <c r="K89" s="218" t="n"/>
      <c r="L89" s="218" t="n"/>
      <c r="M89" s="218" t="n"/>
      <c r="N89" s="218" t="n"/>
      <c r="O89" s="218" t="n"/>
      <c r="P89" s="218" t="n"/>
      <c r="Q89" s="218" t="n"/>
      <c r="R89" s="218" t="n"/>
      <c r="S89" s="218" t="n"/>
      <c r="T89" s="218" t="n"/>
      <c r="U89" s="218" t="n"/>
      <c r="V89" s="218" t="n"/>
      <c r="W89" s="218" t="n"/>
      <c r="X89" s="218" t="n"/>
      <c r="Y89" s="218" t="n"/>
      <c r="Z89" s="218" t="n"/>
      <c r="AA89" s="218" t="n"/>
      <c r="AB89" s="218" t="n"/>
      <c r="AC89" s="218" t="n"/>
      <c r="AD89" s="218" t="n"/>
      <c r="AE89" s="219" t="n"/>
      <c r="AF89" s="129" t="n"/>
      <c r="AG89" s="129" t="n"/>
      <c r="AH89" s="129" t="n"/>
      <c r="AI89" s="129" t="n"/>
      <c r="AJ89" s="129" t="n"/>
      <c r="AK89" s="129" t="n"/>
    </row>
    <row r="90" ht="60" customHeight="1">
      <c r="A90" s="131" t="inlineStr">
        <is>
          <t>Effective Tax / Other haircut rate, 1-(NI/OpInc) (vs. Q1 Forecast Update's own Q2 assumption; bundles the true effective tax rate with Task 12's unmodeled Other Income/(Expense) simplification -- see Task 12 Concern #1 and Task 13 Concern #2)</t>
        </is>
      </c>
      <c r="B90" s="142">
        <f>1-Y53/Y49</f>
        <v>0.175755886860805</v>
      </c>
      <c r="C90" s="142">
        <f>1-T53/T49</f>
        <v>0.172166286478408</v>
      </c>
      <c r="D90" s="142">
        <f>B90-C90</f>
        <v>0.00358960038239742</v>
      </c>
      <c r="E90" s="142">
        <f>D90/ABS(C90)</f>
        <v>0.0208496126379981</v>
      </c>
      <c r="F90" s="175" t="str">
        <f>IF(ABS(E90)&gt;0.03,"Y -- carried forward","N -- immaterial, Q1 FU retained")</f>
        <v>N -- immaterial, Q1 FU retained</v>
      </c>
      <c r="G90" s="142">
        <f>IF(ABS(E90)&gt;0.03,B90,C90)</f>
        <v>0.172166286478408</v>
      </c>
      <c r="H90" s="143" t="inlineStr">
        <is>
          <t>Q2 implied OpInc-to-NI haircut was ~17.6% vs. the Q1 Forecast Update's own Q2 assumption of ~17.2% -- a +0.4pp / +2.1% relative variance, BELOW the 3% threshold, so col G's IF() evaluates to its FALSE branch (the Q1 FU's own assumption, col C) -- unchanged. Q3-Q4 Reforecast continues to apply the same bundled ~17.2% Tax/Other haircut rate the Q1 Forecast Update carried forward from Q1 actual; this is the one driver in this task's log that does NOT move, mirroring Task 13's GM% row (which was also the one immaterial driver in that log). Col G is a live IF(), not a value baked in from the Base scenario -- if a scenario toggle ever pushed this variance above 3%, col G would automatically switch to col B.</t>
        </is>
      </c>
      <c r="I90" s="218" t="n"/>
      <c r="J90" s="218" t="n"/>
      <c r="K90" s="218" t="n"/>
      <c r="L90" s="218" t="n"/>
      <c r="M90" s="218" t="n"/>
      <c r="N90" s="218" t="n"/>
      <c r="O90" s="218" t="n"/>
      <c r="P90" s="218" t="n"/>
      <c r="Q90" s="218" t="n"/>
      <c r="R90" s="218" t="n"/>
      <c r="S90" s="218" t="n"/>
      <c r="T90" s="218" t="n"/>
      <c r="U90" s="218" t="n"/>
      <c r="V90" s="218" t="n"/>
      <c r="W90" s="218" t="n"/>
      <c r="X90" s="218" t="n"/>
      <c r="Y90" s="218" t="n"/>
      <c r="Z90" s="218" t="n"/>
      <c r="AA90" s="218" t="n"/>
      <c r="AB90" s="218" t="n"/>
      <c r="AC90" s="218" t="n"/>
      <c r="AD90" s="218" t="n"/>
      <c r="AE90" s="219" t="n"/>
      <c r="AF90" s="129" t="n"/>
      <c r="AG90" s="129" t="n"/>
      <c r="AH90" s="129" t="n"/>
      <c r="AI90" s="129" t="n"/>
      <c r="AJ90" s="129" t="n"/>
      <c r="AK90" s="129" t="n"/>
    </row>
    <row r="91">
      <c r="A91" s="129" t="n"/>
      <c r="B91" s="129" t="n"/>
      <c r="C91" s="129" t="n"/>
      <c r="D91" s="129" t="n"/>
      <c r="E91" s="129" t="n"/>
      <c r="F91" s="129" t="n"/>
      <c r="G91" s="129" t="n"/>
      <c r="H91" s="129" t="n"/>
      <c r="I91" s="129" t="n"/>
      <c r="J91" s="129" t="n"/>
      <c r="K91" s="129" t="n"/>
      <c r="L91" s="129" t="n"/>
      <c r="M91" s="129" t="n"/>
      <c r="N91" s="129" t="n"/>
      <c r="O91" s="129" t="n"/>
      <c r="P91" s="129" t="n"/>
      <c r="Q91" s="129" t="n"/>
      <c r="R91" s="129" t="n"/>
      <c r="S91" s="129" t="n"/>
      <c r="T91" s="129" t="n"/>
      <c r="U91" s="129" t="n"/>
      <c r="V91" s="129" t="n"/>
      <c r="W91" s="129" t="n"/>
      <c r="X91" s="129" t="n"/>
      <c r="Y91" s="129" t="n"/>
      <c r="Z91" s="129" t="n"/>
      <c r="AA91" s="129" t="n"/>
      <c r="AB91" s="129" t="n"/>
      <c r="AC91" s="129" t="n"/>
      <c r="AD91" s="129" t="n"/>
      <c r="AE91" s="129" t="n"/>
      <c r="AF91" s="129" t="n"/>
      <c r="AG91" s="129" t="n"/>
      <c r="AH91" s="129" t="n"/>
      <c r="AI91" s="129" t="n"/>
      <c r="AJ91" s="129" t="n"/>
      <c r="AK91" s="129" t="n"/>
    </row>
    <row r="92" ht="30" customHeight="1">
      <c r="A92" s="174" t="inlineStr">
        <is>
          <t>Q3 REFORECAST -- ANNUAL BUILD (helper: Q1 Forecast Update's own annual revenue by segment, rows 73-77, grossed up by the Q2 blended revenue-growth-surprise factor from row 86, column G -- used below to split Q3-Q4 Reforecast quarterly revenue via the SAME FY2024-FY2025 seasonality weights the AOP and Q1 Forecast Update both used, row 12 cols D:E)</t>
        </is>
      </c>
      <c r="B92" s="218" t="n"/>
      <c r="C92" s="218" t="n"/>
      <c r="D92" s="218" t="n"/>
      <c r="E92" s="218" t="n"/>
      <c r="F92" s="218" t="n"/>
      <c r="G92" s="218" t="n"/>
      <c r="H92" s="218" t="n"/>
      <c r="I92" s="218" t="n"/>
      <c r="J92" s="218" t="n"/>
      <c r="K92" s="218" t="n"/>
      <c r="L92" s="218" t="n"/>
      <c r="M92" s="218" t="n"/>
      <c r="N92" s="218" t="n"/>
      <c r="O92" s="218" t="n"/>
      <c r="P92" s="218" t="n"/>
      <c r="Q92" s="218" t="n"/>
      <c r="R92" s="218" t="n"/>
      <c r="S92" s="218" t="n"/>
      <c r="T92" s="218" t="n"/>
      <c r="U92" s="218" t="n"/>
      <c r="V92" s="218" t="n"/>
      <c r="W92" s="218" t="n"/>
      <c r="X92" s="218" t="n"/>
      <c r="Y92" s="218" t="n"/>
      <c r="Z92" s="218" t="n"/>
      <c r="AA92" s="218" t="n"/>
      <c r="AB92" s="218" t="n"/>
      <c r="AC92" s="218" t="n"/>
      <c r="AD92" s="218" t="n"/>
      <c r="AE92" s="219" t="n"/>
      <c r="AF92" s="129" t="n"/>
      <c r="AG92" s="129" t="n"/>
      <c r="AH92" s="129" t="n"/>
      <c r="AI92" s="129" t="n"/>
      <c r="AJ92" s="129" t="n"/>
      <c r="AK92" s="129" t="n"/>
    </row>
    <row r="93">
      <c r="A93" s="137" t="inlineStr">
        <is>
          <t>Segment</t>
        </is>
      </c>
      <c r="B93" s="137" t="inlineStr">
        <is>
          <t>FY2026 Q3 Reforecast Annual Revenue ($M)</t>
        </is>
      </c>
      <c r="C93" s="137" t="inlineStr">
        <is>
          <t>Basis</t>
        </is>
      </c>
      <c r="D93" s="218" t="n"/>
      <c r="E93" s="218" t="n"/>
      <c r="F93" s="218" t="n"/>
      <c r="G93" s="218" t="n"/>
      <c r="H93" s="218" t="n"/>
      <c r="I93" s="218" t="n"/>
      <c r="J93" s="218" t="n"/>
      <c r="K93" s="218" t="n"/>
      <c r="L93" s="218" t="n"/>
      <c r="M93" s="218" t="n"/>
      <c r="N93" s="218" t="n"/>
      <c r="O93" s="218" t="n"/>
      <c r="P93" s="218" t="n"/>
      <c r="Q93" s="218" t="n"/>
      <c r="R93" s="218" t="n"/>
      <c r="S93" s="218" t="n"/>
      <c r="T93" s="218" t="n"/>
      <c r="U93" s="218" t="n"/>
      <c r="V93" s="218" t="n"/>
      <c r="W93" s="218" t="n"/>
      <c r="X93" s="218" t="n"/>
      <c r="Y93" s="218" t="n"/>
      <c r="Z93" s="218" t="n"/>
      <c r="AA93" s="218" t="n"/>
      <c r="AB93" s="218" t="n"/>
      <c r="AC93" s="218" t="n"/>
      <c r="AD93" s="218" t="n"/>
      <c r="AE93" s="219" t="n"/>
      <c r="AF93" s="129" t="n"/>
      <c r="AG93" s="129" t="n"/>
      <c r="AH93" s="129" t="n"/>
      <c r="AI93" s="129" t="n"/>
      <c r="AJ93" s="129" t="n"/>
      <c r="AK93" s="129" t="n"/>
    </row>
    <row r="94">
      <c r="A94" s="127" t="inlineStr">
        <is>
          <t>iPhone: FY2026 Q3 RF Annual Revenue ($M)</t>
        </is>
      </c>
      <c r="B94" s="146">
        <f>B73*(1+$G$86)</f>
        <v>225771.804526854</v>
      </c>
      <c r="C94" s="154" t="inlineStr">
        <is>
          <t>Q1 Forecast Update annual revenue (B73, still scenario-live) x (1 + Q2 dollar beat as % of Q1 FU Annual Total, row 86 col G, ~+1.6%). Same uplift ratio applied to every segment/Services -- see Driver Adjustment Log row 86 for why (no quarterly segment actual to split it by) and for why this uses the Q1 FU ANNUAL total as the base, not the Q1 FU Q2 quarter (preserves Base/Bull/Bear cascade in the Q3-Q4 Reforecast total).</t>
        </is>
      </c>
      <c r="D94" s="218" t="n"/>
      <c r="E94" s="218" t="n"/>
      <c r="F94" s="218" t="n"/>
      <c r="G94" s="218" t="n"/>
      <c r="H94" s="218" t="n"/>
      <c r="I94" s="218" t="n"/>
      <c r="J94" s="218" t="n"/>
      <c r="K94" s="218" t="n"/>
      <c r="L94" s="218" t="n"/>
      <c r="M94" s="218" t="n"/>
      <c r="N94" s="218" t="n"/>
      <c r="O94" s="218" t="n"/>
      <c r="P94" s="218" t="n"/>
      <c r="Q94" s="218" t="n"/>
      <c r="R94" s="218" t="n"/>
      <c r="S94" s="218" t="n"/>
      <c r="T94" s="218" t="n"/>
      <c r="U94" s="218" t="n"/>
      <c r="V94" s="218" t="n"/>
      <c r="W94" s="218" t="n"/>
      <c r="X94" s="218" t="n"/>
      <c r="Y94" s="218" t="n"/>
      <c r="Z94" s="218" t="n"/>
      <c r="AA94" s="218" t="n"/>
      <c r="AB94" s="218" t="n"/>
      <c r="AC94" s="218" t="n"/>
      <c r="AD94" s="218" t="n"/>
      <c r="AE94" s="219" t="n"/>
      <c r="AF94" s="129" t="n"/>
      <c r="AG94" s="129" t="n"/>
      <c r="AH94" s="129" t="n"/>
      <c r="AI94" s="129" t="n"/>
      <c r="AJ94" s="129" t="n"/>
      <c r="AK94" s="129" t="n"/>
    </row>
    <row r="95">
      <c r="A95" s="127" t="inlineStr">
        <is>
          <t>Mac: FY2026 Q3 RF Annual Revenue ($M)</t>
        </is>
      </c>
      <c r="B95" s="146">
        <f>B74*(1+$G$86)</f>
        <v>37205.5490040716</v>
      </c>
      <c r="C95" s="154" t="inlineStr">
        <is>
          <t>Q1 Forecast Update annual revenue (B74, still scenario-live) x (1 + Q2 dollar beat as % of Q1 FU Annual Total, row 86 col G, ~+1.6%). Same uplift ratio applied to every segment/Services -- see Driver Adjustment Log row 86 for why (no quarterly segment actual to split it by) and for why this uses the Q1 FU ANNUAL total as the base, not the Q1 FU Q2 quarter (preserves Base/Bull/Bear cascade in the Q3-Q4 Reforecast total).</t>
        </is>
      </c>
      <c r="D95" s="218" t="n"/>
      <c r="E95" s="218" t="n"/>
      <c r="F95" s="218" t="n"/>
      <c r="G95" s="218" t="n"/>
      <c r="H95" s="218" t="n"/>
      <c r="I95" s="218" t="n"/>
      <c r="J95" s="218" t="n"/>
      <c r="K95" s="218" t="n"/>
      <c r="L95" s="218" t="n"/>
      <c r="M95" s="218" t="n"/>
      <c r="N95" s="218" t="n"/>
      <c r="O95" s="218" t="n"/>
      <c r="P95" s="218" t="n"/>
      <c r="Q95" s="218" t="n"/>
      <c r="R95" s="218" t="n"/>
      <c r="S95" s="218" t="n"/>
      <c r="T95" s="218" t="n"/>
      <c r="U95" s="218" t="n"/>
      <c r="V95" s="218" t="n"/>
      <c r="W95" s="218" t="n"/>
      <c r="X95" s="218" t="n"/>
      <c r="Y95" s="218" t="n"/>
      <c r="Z95" s="218" t="n"/>
      <c r="AA95" s="218" t="n"/>
      <c r="AB95" s="218" t="n"/>
      <c r="AC95" s="218" t="n"/>
      <c r="AD95" s="218" t="n"/>
      <c r="AE95" s="219" t="n"/>
      <c r="AF95" s="129" t="n"/>
      <c r="AG95" s="129" t="n"/>
      <c r="AH95" s="129" t="n"/>
      <c r="AI95" s="129" t="n"/>
      <c r="AJ95" s="129" t="n"/>
      <c r="AK95" s="129" t="n"/>
    </row>
    <row r="96">
      <c r="A96" s="127" t="inlineStr">
        <is>
          <t>iPad: FY2026 Q3 RF Annual Revenue ($M)</t>
        </is>
      </c>
      <c r="B96" s="146">
        <f>B75*(1+$G$86)</f>
        <v>29891.1940450979</v>
      </c>
      <c r="C96" s="154" t="inlineStr">
        <is>
          <t>Q1 Forecast Update annual revenue (B75, still scenario-live) x (1 + Q2 dollar beat as % of Q1 FU Annual Total, row 86 col G, ~+1.6%). Same uplift ratio applied to every segment/Services -- see Driver Adjustment Log row 86 for why (no quarterly segment actual to split it by) and for why this uses the Q1 FU ANNUAL total as the base, not the Q1 FU Q2 quarter (preserves Base/Bull/Bear cascade in the Q3-Q4 Reforecast total).</t>
        </is>
      </c>
      <c r="D96" s="218" t="n"/>
      <c r="E96" s="218" t="n"/>
      <c r="F96" s="218" t="n"/>
      <c r="G96" s="218" t="n"/>
      <c r="H96" s="218" t="n"/>
      <c r="I96" s="218" t="n"/>
      <c r="J96" s="218" t="n"/>
      <c r="K96" s="218" t="n"/>
      <c r="L96" s="218" t="n"/>
      <c r="M96" s="218" t="n"/>
      <c r="N96" s="218" t="n"/>
      <c r="O96" s="218" t="n"/>
      <c r="P96" s="218" t="n"/>
      <c r="Q96" s="218" t="n"/>
      <c r="R96" s="218" t="n"/>
      <c r="S96" s="218" t="n"/>
      <c r="T96" s="218" t="n"/>
      <c r="U96" s="218" t="n"/>
      <c r="V96" s="218" t="n"/>
      <c r="W96" s="218" t="n"/>
      <c r="X96" s="218" t="n"/>
      <c r="Y96" s="218" t="n"/>
      <c r="Z96" s="218" t="n"/>
      <c r="AA96" s="218" t="n"/>
      <c r="AB96" s="218" t="n"/>
      <c r="AC96" s="218" t="n"/>
      <c r="AD96" s="218" t="n"/>
      <c r="AE96" s="219" t="n"/>
      <c r="AF96" s="129" t="n"/>
      <c r="AG96" s="129" t="n"/>
      <c r="AH96" s="129" t="n"/>
      <c r="AI96" s="129" t="n"/>
      <c r="AJ96" s="129" t="n"/>
      <c r="AK96" s="129" t="n"/>
    </row>
    <row r="97">
      <c r="A97" s="127" t="inlineStr">
        <is>
          <t>Wearables, Home and Accessories: FY2026 Q3 RF Annual Revenue ($M)</t>
        </is>
      </c>
      <c r="B97" s="146">
        <f>B76*(1+$G$86)</f>
        <v>37127.4960517629</v>
      </c>
      <c r="C97" s="154" t="inlineStr">
        <is>
          <t>Q1 Forecast Update annual revenue (B76, still scenario-live) x (1 + Q2 dollar beat as % of Q1 FU Annual Total, row 86 col G, ~+1.6%). Same uplift ratio applied to every segment/Services -- see Driver Adjustment Log row 86 for why (no quarterly segment actual to split it by) and for why this uses the Q1 FU ANNUAL total as the base, not the Q1 FU Q2 quarter (preserves Base/Bull/Bear cascade in the Q3-Q4 Reforecast total).</t>
        </is>
      </c>
      <c r="D97" s="218" t="n"/>
      <c r="E97" s="218" t="n"/>
      <c r="F97" s="218" t="n"/>
      <c r="G97" s="218" t="n"/>
      <c r="H97" s="218" t="n"/>
      <c r="I97" s="218" t="n"/>
      <c r="J97" s="218" t="n"/>
      <c r="K97" s="218" t="n"/>
      <c r="L97" s="218" t="n"/>
      <c r="M97" s="218" t="n"/>
      <c r="N97" s="218" t="n"/>
      <c r="O97" s="218" t="n"/>
      <c r="P97" s="218" t="n"/>
      <c r="Q97" s="218" t="n"/>
      <c r="R97" s="218" t="n"/>
      <c r="S97" s="218" t="n"/>
      <c r="T97" s="218" t="n"/>
      <c r="U97" s="218" t="n"/>
      <c r="V97" s="218" t="n"/>
      <c r="W97" s="218" t="n"/>
      <c r="X97" s="218" t="n"/>
      <c r="Y97" s="218" t="n"/>
      <c r="Z97" s="218" t="n"/>
      <c r="AA97" s="218" t="n"/>
      <c r="AB97" s="218" t="n"/>
      <c r="AC97" s="218" t="n"/>
      <c r="AD97" s="218" t="n"/>
      <c r="AE97" s="219" t="n"/>
      <c r="AF97" s="129" t="n"/>
      <c r="AG97" s="129" t="n"/>
      <c r="AH97" s="129" t="n"/>
      <c r="AI97" s="129" t="n"/>
      <c r="AJ97" s="129" t="n"/>
      <c r="AK97" s="129" t="n"/>
    </row>
    <row r="98">
      <c r="A98" s="127" t="inlineStr">
        <is>
          <t>Services: FY2026 Q3 RF Annual Revenue ($M)</t>
        </is>
      </c>
      <c r="B98" s="146">
        <f>B77*(1+$G$86)</f>
        <v>128201.927344648</v>
      </c>
      <c r="C98" s="154" t="inlineStr">
        <is>
          <t>Q1 Forecast Update annual revenue (B77, still scenario-live) x (1 + Q2 dollar beat as % of Q1 FU Annual Total, row 86 col G, ~+1.6%). Same uplift ratio applied to every segment/Services -- see Driver Adjustment Log row 86 for why (no quarterly segment actual to split it by) and for why this uses the Q1 FU ANNUAL total as the base, not the Q1 FU Q2 quarter (preserves Base/Bull/Bear cascade in the Q3-Q4 Reforecast total).</t>
        </is>
      </c>
      <c r="D98" s="218" t="n"/>
      <c r="E98" s="218" t="n"/>
      <c r="F98" s="218" t="n"/>
      <c r="G98" s="218" t="n"/>
      <c r="H98" s="218" t="n"/>
      <c r="I98" s="218" t="n"/>
      <c r="J98" s="218" t="n"/>
      <c r="K98" s="218" t="n"/>
      <c r="L98" s="218" t="n"/>
      <c r="M98" s="218" t="n"/>
      <c r="N98" s="218" t="n"/>
      <c r="O98" s="218" t="n"/>
      <c r="P98" s="218" t="n"/>
      <c r="Q98" s="218" t="n"/>
      <c r="R98" s="218" t="n"/>
      <c r="S98" s="218" t="n"/>
      <c r="T98" s="218" t="n"/>
      <c r="U98" s="218" t="n"/>
      <c r="V98" s="218" t="n"/>
      <c r="W98" s="218" t="n"/>
      <c r="X98" s="218" t="n"/>
      <c r="Y98" s="218" t="n"/>
      <c r="Z98" s="218" t="n"/>
      <c r="AA98" s="218" t="n"/>
      <c r="AB98" s="218" t="n"/>
      <c r="AC98" s="218" t="n"/>
      <c r="AD98" s="218" t="n"/>
      <c r="AE98" s="219" t="n"/>
      <c r="AF98" s="129" t="n"/>
      <c r="AG98" s="129" t="n"/>
      <c r="AH98" s="129" t="n"/>
      <c r="AI98" s="129" t="n"/>
      <c r="AJ98" s="129" t="n"/>
      <c r="AK98" s="129" t="n"/>
    </row>
    <row r="99">
      <c r="A99" s="164" t="inlineStr">
        <is>
          <t>Total FY2026 Q3 RF Annual Revenue ($M)</t>
        </is>
      </c>
      <c r="B99" s="146">
        <f>B94+B95+B96+B97+B98</f>
        <v>458197.970972435</v>
      </c>
      <c r="C99" s="129" t="n"/>
      <c r="D99" s="129" t="n"/>
      <c r="E99" s="129" t="n"/>
      <c r="F99" s="129" t="n"/>
      <c r="G99" s="129" t="n"/>
      <c r="H99" s="129" t="n"/>
      <c r="I99" s="129" t="n"/>
      <c r="J99" s="129" t="n"/>
      <c r="K99" s="129" t="n"/>
      <c r="L99" s="129" t="n"/>
      <c r="M99" s="129" t="n"/>
      <c r="N99" s="129" t="n"/>
      <c r="O99" s="129" t="n"/>
      <c r="P99" s="129" t="n"/>
      <c r="Q99" s="129" t="n"/>
      <c r="R99" s="129" t="n"/>
      <c r="S99" s="129" t="n"/>
      <c r="T99" s="129" t="n"/>
      <c r="U99" s="129" t="n"/>
      <c r="V99" s="129" t="n"/>
      <c r="W99" s="129" t="n"/>
      <c r="X99" s="129" t="n"/>
      <c r="Y99" s="129" t="n"/>
      <c r="Z99" s="129" t="n"/>
      <c r="AA99" s="129" t="n"/>
      <c r="AB99" s="129" t="n"/>
      <c r="AC99" s="129" t="n"/>
      <c r="AD99" s="129" t="n"/>
      <c r="AE99" s="129" t="n"/>
      <c r="AF99" s="129" t="n"/>
      <c r="AG99" s="129" t="n"/>
      <c r="AH99" s="129" t="n"/>
      <c r="AI99" s="129" t="n"/>
      <c r="AJ99" s="129" t="n"/>
      <c r="AK99" s="129" t="n"/>
    </row>
    <row r="100">
      <c r="A100" s="129" t="n"/>
      <c r="B100" s="129" t="n"/>
      <c r="C100" s="129" t="n"/>
      <c r="D100" s="129" t="n"/>
      <c r="E100" s="129" t="n"/>
      <c r="F100" s="129" t="n"/>
      <c r="G100" s="129" t="n"/>
      <c r="H100" s="129" t="n"/>
      <c r="I100" s="129" t="n"/>
      <c r="J100" s="129" t="n"/>
      <c r="K100" s="129" t="n"/>
      <c r="L100" s="129" t="n"/>
      <c r="M100" s="129" t="n"/>
      <c r="N100" s="129" t="n"/>
      <c r="O100" s="129" t="n"/>
      <c r="P100" s="129" t="n"/>
      <c r="Q100" s="129" t="n"/>
      <c r="R100" s="129" t="n"/>
      <c r="S100" s="129" t="n"/>
      <c r="T100" s="129" t="n"/>
      <c r="U100" s="129" t="n"/>
      <c r="V100" s="129" t="n"/>
      <c r="W100" s="129" t="n"/>
      <c r="X100" s="129" t="n"/>
      <c r="Y100" s="129" t="n"/>
      <c r="Z100" s="129" t="n"/>
      <c r="AA100" s="129" t="n"/>
      <c r="AB100" s="129" t="n"/>
      <c r="AC100" s="129" t="n"/>
      <c r="AD100" s="129" t="n"/>
      <c r="AE100" s="129" t="n"/>
      <c r="AF100" s="129" t="n"/>
      <c r="AG100" s="129" t="n"/>
      <c r="AH100" s="129" t="n"/>
      <c r="AI100" s="129" t="n"/>
      <c r="AJ100" s="129" t="n"/>
      <c r="AK100" s="129" t="n"/>
    </row>
    <row r="101" ht="48" customHeight="1">
      <c r="A101" s="154" t="inlineStr">
        <is>
          <t>Color legend (Q3 Reforecast block): dark grey header = Q2 FY2026 Actual (mirrors historical col K); gold header/light gold cells = Q2 vs Q1 FU Variance; teal header/light teal cells = Q3 Reforecast formula output (still references Drivers Active named ranges via the inherited Q1 FU Annual Build); amber cells = a material Q2-actual driver adjustment overriding the Q1 Forecast Update's own Q2 assumption for Q3-Q4 (GM%, R&amp;D%, SG&amp;A%, Tax/Other%, and the annual-build revenue uplift); light grey Total column = Q1 Actual + Q2 Actual + Q3-Q4 Reforecast. Materiality threshold: &gt;3% relative variance (see row 82) -- same threshold Task 13 established. This vintage (Q3 Reforecast) is the CURRENT / LIVE forecast in the project's rolling-forecast story.</t>
        </is>
      </c>
      <c r="B101" s="218" t="n"/>
      <c r="C101" s="218" t="n"/>
      <c r="D101" s="218" t="n"/>
      <c r="E101" s="218" t="n"/>
      <c r="F101" s="218" t="n"/>
      <c r="G101" s="218" t="n"/>
      <c r="H101" s="218" t="n"/>
      <c r="I101" s="218" t="n"/>
      <c r="J101" s="218" t="n"/>
      <c r="K101" s="218" t="n"/>
      <c r="L101" s="218" t="n"/>
      <c r="M101" s="218" t="n"/>
      <c r="N101" s="218" t="n"/>
      <c r="O101" s="218" t="n"/>
      <c r="P101" s="218" t="n"/>
      <c r="Q101" s="218" t="n"/>
      <c r="R101" s="218" t="n"/>
      <c r="S101" s="218" t="n"/>
      <c r="T101" s="218" t="n"/>
      <c r="U101" s="218" t="n"/>
      <c r="V101" s="218" t="n"/>
      <c r="W101" s="218" t="n"/>
      <c r="X101" s="218" t="n"/>
      <c r="Y101" s="218" t="n"/>
      <c r="Z101" s="218" t="n"/>
      <c r="AA101" s="218" t="n"/>
      <c r="AB101" s="218" t="n"/>
      <c r="AC101" s="218" t="n"/>
      <c r="AD101" s="218" t="n"/>
      <c r="AE101" s="219" t="n"/>
      <c r="AF101" s="129" t="n"/>
      <c r="AG101" s="129" t="n"/>
      <c r="AH101" s="129" t="n"/>
      <c r="AI101" s="129" t="n"/>
      <c r="AJ101" s="129" t="n"/>
      <c r="AK101" s="129" t="n"/>
    </row>
    <row r="102">
      <c r="A102" s="129" t="n"/>
      <c r="B102" s="129" t="n"/>
      <c r="C102" s="129" t="n"/>
      <c r="D102" s="129" t="n"/>
      <c r="E102" s="129" t="n"/>
      <c r="F102" s="129" t="n"/>
      <c r="G102" s="129" t="n"/>
      <c r="H102" s="129" t="n"/>
      <c r="I102" s="129" t="n"/>
      <c r="J102" s="129" t="n"/>
      <c r="K102" s="129" t="n"/>
      <c r="L102" s="129" t="n"/>
      <c r="M102" s="129" t="n"/>
      <c r="N102" s="129" t="n"/>
      <c r="O102" s="129" t="n"/>
      <c r="P102" s="129" t="n"/>
      <c r="Q102" s="129" t="n"/>
      <c r="R102" s="129" t="n"/>
      <c r="S102" s="129" t="n"/>
      <c r="T102" s="129" t="n"/>
      <c r="U102" s="129" t="n"/>
      <c r="V102" s="129" t="n"/>
      <c r="W102" s="129" t="n"/>
      <c r="X102" s="129" t="n"/>
      <c r="Y102" s="129" t="n"/>
      <c r="Z102" s="129" t="n"/>
      <c r="AA102" s="129" t="n"/>
      <c r="AB102" s="129" t="n"/>
      <c r="AC102" s="129" t="n"/>
      <c r="AD102" s="129" t="n"/>
      <c r="AE102" s="129" t="n"/>
      <c r="AF102" s="129" t="n"/>
      <c r="AG102" s="129" t="n"/>
      <c r="AH102" s="129" t="n"/>
      <c r="AI102" s="129" t="n"/>
      <c r="AJ102" s="129" t="n"/>
      <c r="AK102" s="129" t="n"/>
    </row>
    <row r="103" ht="56" customHeight="1">
      <c r="A103" s="174" t="inlineStr">
        <is>
          <t>FY2027 AOP -- fifth and final vintage in the chain (FY2026 Approved AOP -&gt; Q1 FY2026 Actual -&gt; Q1 Forecast Update -&gt; Q3 Reforecast -&gt; FY2027 AOP). This is next year's Annual Operating Plan, built the same structural way Task 12's FY2026 AOP was (Units x ASP x FX x Mix / Installed Base x ARPU via the Drivers tab's Active named ranges, split into quarters via the same seasonality weights), but anchored on the Q3 Reforecast's Q4 FY2026 EXIT run-rate (row 107-121 below, de-seasonalized -- col AC / Q4 weight, NOT a naive x4) instead of a FY2025 actual anchor -- so the plan reflects the Q2-actual-adjusted trajectory the business is exiting FY2026 on, not the FY26 Total that blends in the already-reported Q1/Q2 actuals.</t>
        </is>
      </c>
      <c r="B103" s="218" t="n"/>
      <c r="C103" s="218" t="n"/>
      <c r="D103" s="218" t="n"/>
      <c r="E103" s="218" t="n"/>
      <c r="F103" s="218" t="n"/>
      <c r="G103" s="218" t="n"/>
      <c r="H103" s="218" t="n"/>
      <c r="I103" s="218" t="n"/>
      <c r="J103" s="218" t="n"/>
      <c r="K103" s="218" t="n"/>
      <c r="L103" s="218" t="n"/>
      <c r="M103" s="218" t="n"/>
      <c r="N103" s="218" t="n"/>
      <c r="O103" s="218" t="n"/>
      <c r="P103" s="218" t="n"/>
      <c r="Q103" s="218" t="n"/>
      <c r="R103" s="218" t="n"/>
      <c r="S103" s="218" t="n"/>
      <c r="T103" s="218" t="n"/>
      <c r="U103" s="218" t="n"/>
      <c r="V103" s="218" t="n"/>
      <c r="W103" s="218" t="n"/>
      <c r="X103" s="218" t="n"/>
      <c r="Y103" s="218" t="n"/>
      <c r="Z103" s="218" t="n"/>
      <c r="AA103" s="218" t="n"/>
      <c r="AB103" s="218" t="n"/>
      <c r="AC103" s="218" t="n"/>
      <c r="AD103" s="218" t="n"/>
      <c r="AE103" s="218" t="n"/>
      <c r="AF103" s="218" t="n"/>
      <c r="AG103" s="218" t="n"/>
      <c r="AH103" s="218" t="n"/>
      <c r="AI103" s="218" t="n"/>
      <c r="AJ103" s="218" t="n"/>
      <c r="AK103" s="219" t="n"/>
    </row>
    <row r="104">
      <c r="A104" s="129" t="n"/>
      <c r="B104" s="129" t="n"/>
      <c r="C104" s="129" t="n"/>
      <c r="D104" s="129" t="n"/>
      <c r="E104" s="129" t="n"/>
      <c r="F104" s="129" t="n"/>
      <c r="G104" s="129" t="n"/>
      <c r="H104" s="129" t="n"/>
      <c r="I104" s="129" t="n"/>
      <c r="J104" s="129" t="n"/>
      <c r="K104" s="129" t="n"/>
      <c r="L104" s="129" t="n"/>
      <c r="M104" s="129" t="n"/>
      <c r="N104" s="129" t="n"/>
      <c r="O104" s="129" t="n"/>
      <c r="P104" s="129" t="n"/>
      <c r="Q104" s="129" t="n"/>
      <c r="R104" s="129" t="n"/>
      <c r="S104" s="129" t="n"/>
      <c r="T104" s="129" t="n"/>
      <c r="U104" s="129" t="n"/>
      <c r="V104" s="129" t="n"/>
      <c r="W104" s="129" t="n"/>
      <c r="X104" s="129" t="n"/>
      <c r="Y104" s="129" t="n"/>
      <c r="Z104" s="129" t="n"/>
      <c r="AA104" s="129" t="n"/>
      <c r="AB104" s="129" t="n"/>
      <c r="AC104" s="129" t="n"/>
      <c r="AD104" s="129" t="n"/>
      <c r="AE104" s="129" t="n"/>
      <c r="AF104" s="129" t="n"/>
      <c r="AG104" s="129" t="n"/>
      <c r="AH104" s="129" t="n"/>
      <c r="AI104" s="129" t="n"/>
      <c r="AJ104" s="129" t="n"/>
      <c r="AK104" s="129" t="n"/>
    </row>
    <row r="105" ht="30" customHeight="1">
      <c r="A105" s="174" t="inlineStr">
        <is>
          <t>FY2027 AOP -- ANNUAL BUILD (helper: FY2026 Exit Run-Rate Annualized Revenue -- Q3 Reforecast's Q4 FY2026 quarterly revenue, col AC, de-seasonalized by dividing by the Q4 weight (row 12 col E) -- then grown one more year via Drivers Active Units/ASP/InstalledBase/ARPU/FX/Mix, exactly mirroring Task 12's FY2025-anchor AOP build)</t>
        </is>
      </c>
      <c r="B105" s="218" t="n"/>
      <c r="C105" s="218" t="n"/>
      <c r="D105" s="218" t="n"/>
      <c r="E105" s="218" t="n"/>
      <c r="F105" s="218" t="n"/>
      <c r="G105" s="218" t="n"/>
      <c r="H105" s="218" t="n"/>
      <c r="I105" s="218" t="n"/>
      <c r="J105" s="218" t="n"/>
      <c r="K105" s="218" t="n"/>
      <c r="L105" s="218" t="n"/>
      <c r="M105" s="218" t="n"/>
      <c r="N105" s="218" t="n"/>
      <c r="O105" s="218" t="n"/>
      <c r="P105" s="218" t="n"/>
      <c r="Q105" s="218" t="n"/>
      <c r="R105" s="218" t="n"/>
      <c r="S105" s="218" t="n"/>
      <c r="T105" s="218" t="n"/>
      <c r="U105" s="218" t="n"/>
      <c r="V105" s="218" t="n"/>
      <c r="W105" s="218" t="n"/>
      <c r="X105" s="218" t="n"/>
      <c r="Y105" s="218" t="n"/>
      <c r="Z105" s="218" t="n"/>
      <c r="AA105" s="218" t="n"/>
      <c r="AB105" s="218" t="n"/>
      <c r="AC105" s="218" t="n"/>
      <c r="AD105" s="218" t="n"/>
      <c r="AE105" s="218" t="n"/>
      <c r="AF105" s="218" t="n"/>
      <c r="AG105" s="218" t="n"/>
      <c r="AH105" s="218" t="n"/>
      <c r="AI105" s="218" t="n"/>
      <c r="AJ105" s="218" t="n"/>
      <c r="AK105" s="219" t="n"/>
    </row>
    <row r="106">
      <c r="A106" s="137" t="inlineStr">
        <is>
          <t>Segment</t>
        </is>
      </c>
      <c r="B106" s="137" t="inlineStr">
        <is>
          <t>Value ($M or units, see row label)</t>
        </is>
      </c>
      <c r="C106" s="137" t="inlineStr">
        <is>
          <t>Basis</t>
        </is>
      </c>
      <c r="D106" s="218" t="n"/>
      <c r="E106" s="218" t="n"/>
      <c r="F106" s="218" t="n"/>
      <c r="G106" s="218" t="n"/>
      <c r="H106" s="218" t="n"/>
      <c r="I106" s="218" t="n"/>
      <c r="J106" s="218" t="n"/>
      <c r="K106" s="218" t="n"/>
      <c r="L106" s="218" t="n"/>
      <c r="M106" s="218" t="n"/>
      <c r="N106" s="218" t="n"/>
      <c r="O106" s="218" t="n"/>
      <c r="P106" s="218" t="n"/>
      <c r="Q106" s="218" t="n"/>
      <c r="R106" s="218" t="n"/>
      <c r="S106" s="218" t="n"/>
      <c r="T106" s="218" t="n"/>
      <c r="U106" s="218" t="n"/>
      <c r="V106" s="218" t="n"/>
      <c r="W106" s="218" t="n"/>
      <c r="X106" s="218" t="n"/>
      <c r="Y106" s="218" t="n"/>
      <c r="Z106" s="218" t="n"/>
      <c r="AA106" s="218" t="n"/>
      <c r="AB106" s="218" t="n"/>
      <c r="AC106" s="218" t="n"/>
      <c r="AD106" s="218" t="n"/>
      <c r="AE106" s="218" t="n"/>
      <c r="AF106" s="218" t="n"/>
      <c r="AG106" s="218" t="n"/>
      <c r="AH106" s="218" t="n"/>
      <c r="AI106" s="218" t="n"/>
      <c r="AJ106" s="218" t="n"/>
      <c r="AK106" s="219" t="n"/>
    </row>
    <row r="107">
      <c r="A107" s="127" t="inlineStr">
        <is>
          <t>iPhone: FY2026 Exit Run-Rate Annualized Revenue ($M)</t>
        </is>
      </c>
      <c r="B107" s="146">
        <f>AC35/$E$12</f>
        <v>225771.804526854</v>
      </c>
      <c r="C107" s="154" t="inlineStr">
        <is>
          <t>Q3 Reforecast's Q4 FY2026 quarterly revenue (AC35, still scenario-live and still carrying Task 14's Q2-actual driver adjustments) divided by the Q4 seasonality weight (row 12 col E, ~24.4%) to de-seasonalize it into an annualized run-rate. A naive x4 was tried first and rejected on code review: it implicitly assumes every quarter is an equal 25% share of the year, which this model's own measured weights (row 12: Q1 30.2%, Q2 23.1%, Q3 22.3%, Q4 24.4%) show is false -- x4 mechanically discounted the anchor by ~2.2% for a reason unrelated to business momentum. Dividing by the Q4 weight removes that artifact while still anchoring on Q4 specifically (not a blend of the Q3 Reforecast's already-reported Q1/Q2 actuals): it recovers the Q3 Reforecast's own forward-looking Annual Build total (row 99), the pace implied by extrapolating the current Q2-actual-adjusted trajectory across the full year -- a genuinely different, and lower, number than the Q3 Reforecast's blended FY26 Total (col AD).</t>
        </is>
      </c>
      <c r="D107" s="218" t="n"/>
      <c r="E107" s="218" t="n"/>
      <c r="F107" s="218" t="n"/>
      <c r="G107" s="218" t="n"/>
      <c r="H107" s="218" t="n"/>
      <c r="I107" s="218" t="n"/>
      <c r="J107" s="218" t="n"/>
      <c r="K107" s="218" t="n"/>
      <c r="L107" s="218" t="n"/>
      <c r="M107" s="218" t="n"/>
      <c r="N107" s="218" t="n"/>
      <c r="O107" s="218" t="n"/>
      <c r="P107" s="218" t="n"/>
      <c r="Q107" s="218" t="n"/>
      <c r="R107" s="218" t="n"/>
      <c r="S107" s="218" t="n"/>
      <c r="T107" s="218" t="n"/>
      <c r="U107" s="218" t="n"/>
      <c r="V107" s="218" t="n"/>
      <c r="W107" s="218" t="n"/>
      <c r="X107" s="218" t="n"/>
      <c r="Y107" s="218" t="n"/>
      <c r="Z107" s="218" t="n"/>
      <c r="AA107" s="218" t="n"/>
      <c r="AB107" s="218" t="n"/>
      <c r="AC107" s="218" t="n"/>
      <c r="AD107" s="218" t="n"/>
      <c r="AE107" s="218" t="n"/>
      <c r="AF107" s="218" t="n"/>
      <c r="AG107" s="218" t="n"/>
      <c r="AH107" s="218" t="n"/>
      <c r="AI107" s="218" t="n"/>
      <c r="AJ107" s="218" t="n"/>
      <c r="AK107" s="219" t="n"/>
    </row>
    <row r="108">
      <c r="A108" s="127" t="inlineStr">
        <is>
          <t>iPhone: Implied FY2026 Exit-Run-Rate Units (M)</t>
        </is>
      </c>
      <c r="B108" s="167">
        <f>B107/iPhone_ASP_Active</f>
        <v>245.938784887641</v>
      </c>
      <c r="C108" s="154" t="inlineStr">
        <is>
          <t>Exit run-rate revenue (row above) / Drivers!iPhone_ASP_Active -- the CURRENT Active ASP/ARPU (not the Historical Reference ASP Task 12 used for its FY2025 anchor), since the exit run-rate revenue already embeds a full year of Active-scenario ASP/FX/Mix via the AOP -&gt; Q1 FU -&gt; Q3 RF chain.</t>
        </is>
      </c>
      <c r="D108" s="218" t="n"/>
      <c r="E108" s="218" t="n"/>
      <c r="F108" s="218" t="n"/>
      <c r="G108" s="218" t="n"/>
      <c r="H108" s="218" t="n"/>
      <c r="I108" s="218" t="n"/>
      <c r="J108" s="218" t="n"/>
      <c r="K108" s="218" t="n"/>
      <c r="L108" s="218" t="n"/>
      <c r="M108" s="218" t="n"/>
      <c r="N108" s="218" t="n"/>
      <c r="O108" s="218" t="n"/>
      <c r="P108" s="218" t="n"/>
      <c r="Q108" s="218" t="n"/>
      <c r="R108" s="218" t="n"/>
      <c r="S108" s="218" t="n"/>
      <c r="T108" s="218" t="n"/>
      <c r="U108" s="218" t="n"/>
      <c r="V108" s="218" t="n"/>
      <c r="W108" s="218" t="n"/>
      <c r="X108" s="218" t="n"/>
      <c r="Y108" s="218" t="n"/>
      <c r="Z108" s="218" t="n"/>
      <c r="AA108" s="218" t="n"/>
      <c r="AB108" s="218" t="n"/>
      <c r="AC108" s="218" t="n"/>
      <c r="AD108" s="218" t="n"/>
      <c r="AE108" s="218" t="n"/>
      <c r="AF108" s="218" t="n"/>
      <c r="AG108" s="218" t="n"/>
      <c r="AH108" s="218" t="n"/>
      <c r="AI108" s="218" t="n"/>
      <c r="AJ108" s="218" t="n"/>
      <c r="AK108" s="219" t="n"/>
    </row>
    <row r="109">
      <c r="A109" s="164" t="inlineStr">
        <is>
          <t>iPhone: FY2027 AOP Annual Revenue ($M)</t>
        </is>
      </c>
      <c r="B109" s="146">
        <f>B108*(1+iPhone_Units_Growth_Active)*iPhone_ASP_Active*(1+FX_Impact_Active)*(1+Mix_Impact_Active)</f>
        <v>229158.381594757</v>
      </c>
      <c r="C109" s="154" t="inlineStr">
        <is>
          <t>Implied exit-run-rate units/base x (1+iPhone_Units_Growth_Active) x iPhone_ASP_Active x (1+FX_Impact_Active) x (1+Mix_Impact_Active) -- one more year of Drivers Active growth applied on top of the FY2026 exit run-rate, same formula shape as Task 12's FY2025-anchor AOP build. FX_Impact_Active/Mix_Impact_Active are therefore applied for a second consecutive year (compounding with whatever FX/Mix was already embedded in the FY2026 build) -- immaterial at Base (both 0%), a real, documented compounding effect under Bull/Bear, since the Drivers tab has only one non-year-specific Active column shared by every downstream tab.</t>
        </is>
      </c>
      <c r="D109" s="218" t="n"/>
      <c r="E109" s="218" t="n"/>
      <c r="F109" s="218" t="n"/>
      <c r="G109" s="218" t="n"/>
      <c r="H109" s="218" t="n"/>
      <c r="I109" s="218" t="n"/>
      <c r="J109" s="218" t="n"/>
      <c r="K109" s="218" t="n"/>
      <c r="L109" s="218" t="n"/>
      <c r="M109" s="218" t="n"/>
      <c r="N109" s="218" t="n"/>
      <c r="O109" s="218" t="n"/>
      <c r="P109" s="218" t="n"/>
      <c r="Q109" s="218" t="n"/>
      <c r="R109" s="218" t="n"/>
      <c r="S109" s="218" t="n"/>
      <c r="T109" s="218" t="n"/>
      <c r="U109" s="218" t="n"/>
      <c r="V109" s="218" t="n"/>
      <c r="W109" s="218" t="n"/>
      <c r="X109" s="218" t="n"/>
      <c r="Y109" s="218" t="n"/>
      <c r="Z109" s="218" t="n"/>
      <c r="AA109" s="218" t="n"/>
      <c r="AB109" s="218" t="n"/>
      <c r="AC109" s="218" t="n"/>
      <c r="AD109" s="218" t="n"/>
      <c r="AE109" s="218" t="n"/>
      <c r="AF109" s="218" t="n"/>
      <c r="AG109" s="218" t="n"/>
      <c r="AH109" s="218" t="n"/>
      <c r="AI109" s="218" t="n"/>
      <c r="AJ109" s="218" t="n"/>
      <c r="AK109" s="219" t="n"/>
    </row>
    <row r="110">
      <c r="A110" s="127" t="inlineStr">
        <is>
          <t>Mac: FY2026 Exit Run-Rate Annualized Revenue ($M)</t>
        </is>
      </c>
      <c r="B110" s="146">
        <f>AC36/$E$12</f>
        <v>37205.5490040716</v>
      </c>
      <c r="C110" s="154" t="inlineStr">
        <is>
          <t>Q3 Reforecast's Q4 FY2026 quarterly revenue (AC36, still scenario-live and still carrying Task 14's Q2-actual driver adjustments) divided by the Q4 seasonality weight (row 12 col E, ~24.4%) to de-seasonalize it into an annualized run-rate. A naive x4 was tried first and rejected on code review: it implicitly assumes every quarter is an equal 25% share of the year, which this model's own measured weights (row 12: Q1 30.2%, Q2 23.1%, Q3 22.3%, Q4 24.4%) show is false -- x4 mechanically discounted the anchor by ~2.2% for a reason unrelated to business momentum. Dividing by the Q4 weight removes that artifact while still anchoring on Q4 specifically (not a blend of the Q3 Reforecast's already-reported Q1/Q2 actuals): it recovers the Q3 Reforecast's own forward-looking Annual Build total (row 99), the pace implied by extrapolating the current Q2-actual-adjusted trajectory across the full year -- a genuinely different, and lower, number than the Q3 Reforecast's blended FY26 Total (col AD).</t>
        </is>
      </c>
      <c r="D110" s="218" t="n"/>
      <c r="E110" s="218" t="n"/>
      <c r="F110" s="218" t="n"/>
      <c r="G110" s="218" t="n"/>
      <c r="H110" s="218" t="n"/>
      <c r="I110" s="218" t="n"/>
      <c r="J110" s="218" t="n"/>
      <c r="K110" s="218" t="n"/>
      <c r="L110" s="218" t="n"/>
      <c r="M110" s="218" t="n"/>
      <c r="N110" s="218" t="n"/>
      <c r="O110" s="218" t="n"/>
      <c r="P110" s="218" t="n"/>
      <c r="Q110" s="218" t="n"/>
      <c r="R110" s="218" t="n"/>
      <c r="S110" s="218" t="n"/>
      <c r="T110" s="218" t="n"/>
      <c r="U110" s="218" t="n"/>
      <c r="V110" s="218" t="n"/>
      <c r="W110" s="218" t="n"/>
      <c r="X110" s="218" t="n"/>
      <c r="Y110" s="218" t="n"/>
      <c r="Z110" s="218" t="n"/>
      <c r="AA110" s="218" t="n"/>
      <c r="AB110" s="218" t="n"/>
      <c r="AC110" s="218" t="n"/>
      <c r="AD110" s="218" t="n"/>
      <c r="AE110" s="218" t="n"/>
      <c r="AF110" s="218" t="n"/>
      <c r="AG110" s="218" t="n"/>
      <c r="AH110" s="218" t="n"/>
      <c r="AI110" s="218" t="n"/>
      <c r="AJ110" s="218" t="n"/>
      <c r="AK110" s="219" t="n"/>
    </row>
    <row r="111">
      <c r="A111" s="127" t="inlineStr">
        <is>
          <t>Mac: Implied FY2026 Exit-Run-Rate Units (M)</t>
        </is>
      </c>
      <c r="B111" s="167">
        <f>B110/Mac_ASP_Active</f>
        <v>26.0543060252602</v>
      </c>
      <c r="C111" s="154" t="inlineStr">
        <is>
          <t>Exit run-rate revenue (row above) / Drivers!Mac_ASP_Active -- the CURRENT Active ASP/ARPU (not the Historical Reference ASP Task 12 used for its FY2025 anchor), since the exit run-rate revenue already embeds a full year of Active-scenario ASP/FX/Mix via the AOP -&gt; Q1 FU -&gt; Q3 RF chain.</t>
        </is>
      </c>
      <c r="D111" s="218" t="n"/>
      <c r="E111" s="218" t="n"/>
      <c r="F111" s="218" t="n"/>
      <c r="G111" s="218" t="n"/>
      <c r="H111" s="218" t="n"/>
      <c r="I111" s="218" t="n"/>
      <c r="J111" s="218" t="n"/>
      <c r="K111" s="218" t="n"/>
      <c r="L111" s="218" t="n"/>
      <c r="M111" s="218" t="n"/>
      <c r="N111" s="218" t="n"/>
      <c r="O111" s="218" t="n"/>
      <c r="P111" s="218" t="n"/>
      <c r="Q111" s="218" t="n"/>
      <c r="R111" s="218" t="n"/>
      <c r="S111" s="218" t="n"/>
      <c r="T111" s="218" t="n"/>
      <c r="U111" s="218" t="n"/>
      <c r="V111" s="218" t="n"/>
      <c r="W111" s="218" t="n"/>
      <c r="X111" s="218" t="n"/>
      <c r="Y111" s="218" t="n"/>
      <c r="Z111" s="218" t="n"/>
      <c r="AA111" s="218" t="n"/>
      <c r="AB111" s="218" t="n"/>
      <c r="AC111" s="218" t="n"/>
      <c r="AD111" s="218" t="n"/>
      <c r="AE111" s="218" t="n"/>
      <c r="AF111" s="218" t="n"/>
      <c r="AG111" s="218" t="n"/>
      <c r="AH111" s="218" t="n"/>
      <c r="AI111" s="218" t="n"/>
      <c r="AJ111" s="218" t="n"/>
      <c r="AK111" s="219" t="n"/>
    </row>
    <row r="112">
      <c r="A112" s="164" t="inlineStr">
        <is>
          <t>Mac: FY2027 AOP Annual Revenue ($M)</t>
        </is>
      </c>
      <c r="B112" s="146">
        <f>B111*(1+Mac_Units_Growth_Active)*Mac_ASP_Active*(1+FX_Impact_Active)*(1+Mix_Impact_Active)</f>
        <v>38693.7709642344</v>
      </c>
      <c r="C112" s="154" t="inlineStr">
        <is>
          <t>Implied exit-run-rate units/base x (1+Mac_Units_Growth_Active) x Mac_ASP_Active x (1+FX_Impact_Active) x (1+Mix_Impact_Active) -- one more year of Drivers Active growth applied on top of the FY2026 exit run-rate, same formula shape as Task 12's FY2025-anchor AOP build. FX_Impact_Active/Mix_Impact_Active are therefore applied for a second consecutive year (compounding with whatever FX/Mix was already embedded in the FY2026 build) -- immaterial at Base (both 0%), a real, documented compounding effect under Bull/Bear, since the Drivers tab has only one non-year-specific Active column shared by every downstream tab.</t>
        </is>
      </c>
      <c r="D112" s="218" t="n"/>
      <c r="E112" s="218" t="n"/>
      <c r="F112" s="218" t="n"/>
      <c r="G112" s="218" t="n"/>
      <c r="H112" s="218" t="n"/>
      <c r="I112" s="218" t="n"/>
      <c r="J112" s="218" t="n"/>
      <c r="K112" s="218" t="n"/>
      <c r="L112" s="218" t="n"/>
      <c r="M112" s="218" t="n"/>
      <c r="N112" s="218" t="n"/>
      <c r="O112" s="218" t="n"/>
      <c r="P112" s="218" t="n"/>
      <c r="Q112" s="218" t="n"/>
      <c r="R112" s="218" t="n"/>
      <c r="S112" s="218" t="n"/>
      <c r="T112" s="218" t="n"/>
      <c r="U112" s="218" t="n"/>
      <c r="V112" s="218" t="n"/>
      <c r="W112" s="218" t="n"/>
      <c r="X112" s="218" t="n"/>
      <c r="Y112" s="218" t="n"/>
      <c r="Z112" s="218" t="n"/>
      <c r="AA112" s="218" t="n"/>
      <c r="AB112" s="218" t="n"/>
      <c r="AC112" s="218" t="n"/>
      <c r="AD112" s="218" t="n"/>
      <c r="AE112" s="218" t="n"/>
      <c r="AF112" s="218" t="n"/>
      <c r="AG112" s="218" t="n"/>
      <c r="AH112" s="218" t="n"/>
      <c r="AI112" s="218" t="n"/>
      <c r="AJ112" s="218" t="n"/>
      <c r="AK112" s="219" t="n"/>
    </row>
    <row r="113">
      <c r="A113" s="127" t="inlineStr">
        <is>
          <t>iPad: FY2026 Exit Run-Rate Annualized Revenue ($M)</t>
        </is>
      </c>
      <c r="B113" s="146">
        <f>AC37/$E$12</f>
        <v>29891.1940450979</v>
      </c>
      <c r="C113" s="154" t="inlineStr">
        <is>
          <t>Q3 Reforecast's Q4 FY2026 quarterly revenue (AC37, still scenario-live and still carrying Task 14's Q2-actual driver adjustments) divided by the Q4 seasonality weight (row 12 col E, ~24.4%) to de-seasonalize it into an annualized run-rate. A naive x4 was tried first and rejected on code review: it implicitly assumes every quarter is an equal 25% share of the year, which this model's own measured weights (row 12: Q1 30.2%, Q2 23.1%, Q3 22.3%, Q4 24.4%) show is false -- x4 mechanically discounted the anchor by ~2.2% for a reason unrelated to business momentum. Dividing by the Q4 weight removes that artifact while still anchoring on Q4 specifically (not a blend of the Q3 Reforecast's already-reported Q1/Q2 actuals): it recovers the Q3 Reforecast's own forward-looking Annual Build total (row 99), the pace implied by extrapolating the current Q2-actual-adjusted trajectory across the full year -- a genuinely different, and lower, number than the Q3 Reforecast's blended FY26 Total (col AD).</t>
        </is>
      </c>
      <c r="D113" s="218" t="n"/>
      <c r="E113" s="218" t="n"/>
      <c r="F113" s="218" t="n"/>
      <c r="G113" s="218" t="n"/>
      <c r="H113" s="218" t="n"/>
      <c r="I113" s="218" t="n"/>
      <c r="J113" s="218" t="n"/>
      <c r="K113" s="218" t="n"/>
      <c r="L113" s="218" t="n"/>
      <c r="M113" s="218" t="n"/>
      <c r="N113" s="218" t="n"/>
      <c r="O113" s="218" t="n"/>
      <c r="P113" s="218" t="n"/>
      <c r="Q113" s="218" t="n"/>
      <c r="R113" s="218" t="n"/>
      <c r="S113" s="218" t="n"/>
      <c r="T113" s="218" t="n"/>
      <c r="U113" s="218" t="n"/>
      <c r="V113" s="218" t="n"/>
      <c r="W113" s="218" t="n"/>
      <c r="X113" s="218" t="n"/>
      <c r="Y113" s="218" t="n"/>
      <c r="Z113" s="218" t="n"/>
      <c r="AA113" s="218" t="n"/>
      <c r="AB113" s="218" t="n"/>
      <c r="AC113" s="218" t="n"/>
      <c r="AD113" s="218" t="n"/>
      <c r="AE113" s="218" t="n"/>
      <c r="AF113" s="218" t="n"/>
      <c r="AG113" s="218" t="n"/>
      <c r="AH113" s="218" t="n"/>
      <c r="AI113" s="218" t="n"/>
      <c r="AJ113" s="218" t="n"/>
      <c r="AK113" s="219" t="n"/>
    </row>
    <row r="114">
      <c r="A114" s="127" t="inlineStr">
        <is>
          <t>iPad: Implied FY2026 Exit-Run-Rate Units (M)</t>
        </is>
      </c>
      <c r="B114" s="167">
        <f>B113/iPad_ASP_Active</f>
        <v>61.9988468656425</v>
      </c>
      <c r="C114" s="154" t="inlineStr">
        <is>
          <t>Exit run-rate revenue (row above) / Drivers!iPad_ASP_Active -- the CURRENT Active ASP/ARPU (not the Historical Reference ASP Task 12 used for its FY2025 anchor), since the exit run-rate revenue already embeds a full year of Active-scenario ASP/FX/Mix via the AOP -&gt; Q1 FU -&gt; Q3 RF chain.</t>
        </is>
      </c>
      <c r="D114" s="218" t="n"/>
      <c r="E114" s="218" t="n"/>
      <c r="F114" s="218" t="n"/>
      <c r="G114" s="218" t="n"/>
      <c r="H114" s="218" t="n"/>
      <c r="I114" s="218" t="n"/>
      <c r="J114" s="218" t="n"/>
      <c r="K114" s="218" t="n"/>
      <c r="L114" s="218" t="n"/>
      <c r="M114" s="218" t="n"/>
      <c r="N114" s="218" t="n"/>
      <c r="O114" s="218" t="n"/>
      <c r="P114" s="218" t="n"/>
      <c r="Q114" s="218" t="n"/>
      <c r="R114" s="218" t="n"/>
      <c r="S114" s="218" t="n"/>
      <c r="T114" s="218" t="n"/>
      <c r="U114" s="218" t="n"/>
      <c r="V114" s="218" t="n"/>
      <c r="W114" s="218" t="n"/>
      <c r="X114" s="218" t="n"/>
      <c r="Y114" s="218" t="n"/>
      <c r="Z114" s="218" t="n"/>
      <c r="AA114" s="218" t="n"/>
      <c r="AB114" s="218" t="n"/>
      <c r="AC114" s="218" t="n"/>
      <c r="AD114" s="218" t="n"/>
      <c r="AE114" s="218" t="n"/>
      <c r="AF114" s="218" t="n"/>
      <c r="AG114" s="218" t="n"/>
      <c r="AH114" s="218" t="n"/>
      <c r="AI114" s="218" t="n"/>
      <c r="AJ114" s="218" t="n"/>
      <c r="AK114" s="219" t="n"/>
    </row>
    <row r="115">
      <c r="A115" s="164" t="inlineStr">
        <is>
          <t>iPad: FY2027 AOP Annual Revenue ($M)</t>
        </is>
      </c>
      <c r="B115" s="146">
        <f>B114*(1+iPad_Units_Growth_Active)*iPad_ASP_Active*(1+FX_Impact_Active)*(1+Mix_Impact_Active)</f>
        <v>30190.1059855488</v>
      </c>
      <c r="C115" s="154" t="inlineStr">
        <is>
          <t>Implied exit-run-rate units/base x (1+iPad_Units_Growth_Active) x iPad_ASP_Active x (1+FX_Impact_Active) x (1+Mix_Impact_Active) -- one more year of Drivers Active growth applied on top of the FY2026 exit run-rate, same formula shape as Task 12's FY2025-anchor AOP build. FX_Impact_Active/Mix_Impact_Active are therefore applied for a second consecutive year (compounding with whatever FX/Mix was already embedded in the FY2026 build) -- immaterial at Base (both 0%), a real, documented compounding effect under Bull/Bear, since the Drivers tab has only one non-year-specific Active column shared by every downstream tab.</t>
        </is>
      </c>
      <c r="D115" s="218" t="n"/>
      <c r="E115" s="218" t="n"/>
      <c r="F115" s="218" t="n"/>
      <c r="G115" s="218" t="n"/>
      <c r="H115" s="218" t="n"/>
      <c r="I115" s="218" t="n"/>
      <c r="J115" s="218" t="n"/>
      <c r="K115" s="218" t="n"/>
      <c r="L115" s="218" t="n"/>
      <c r="M115" s="218" t="n"/>
      <c r="N115" s="218" t="n"/>
      <c r="O115" s="218" t="n"/>
      <c r="P115" s="218" t="n"/>
      <c r="Q115" s="218" t="n"/>
      <c r="R115" s="218" t="n"/>
      <c r="S115" s="218" t="n"/>
      <c r="T115" s="218" t="n"/>
      <c r="U115" s="218" t="n"/>
      <c r="V115" s="218" t="n"/>
      <c r="W115" s="218" t="n"/>
      <c r="X115" s="218" t="n"/>
      <c r="Y115" s="218" t="n"/>
      <c r="Z115" s="218" t="n"/>
      <c r="AA115" s="218" t="n"/>
      <c r="AB115" s="218" t="n"/>
      <c r="AC115" s="218" t="n"/>
      <c r="AD115" s="218" t="n"/>
      <c r="AE115" s="218" t="n"/>
      <c r="AF115" s="218" t="n"/>
      <c r="AG115" s="218" t="n"/>
      <c r="AH115" s="218" t="n"/>
      <c r="AI115" s="218" t="n"/>
      <c r="AJ115" s="218" t="n"/>
      <c r="AK115" s="219" t="n"/>
    </row>
    <row r="116">
      <c r="A116" s="127" t="inlineStr">
        <is>
          <t>Wearables, Home and Accessories: FY2026 Exit Run-Rate Annualized Revenue ($M)</t>
        </is>
      </c>
      <c r="B116" s="146">
        <f>AC38/$E$12</f>
        <v>37127.4960517629</v>
      </c>
      <c r="C116" s="154" t="inlineStr">
        <is>
          <t>Q3 Reforecast's Q4 FY2026 quarterly revenue (AC38, still scenario-live and still carrying Task 14's Q2-actual driver adjustments) divided by the Q4 seasonality weight (row 12 col E, ~24.4%) to de-seasonalize it into an annualized run-rate. A naive x4 was tried first and rejected on code review: it implicitly assumes every quarter is an equal 25% share of the year, which this model's own measured weights (row 12: Q1 30.2%, Q2 23.1%, Q3 22.3%, Q4 24.4%) show is false -- x4 mechanically discounted the anchor by ~2.2% for a reason unrelated to business momentum. Dividing by the Q4 weight removes that artifact while still anchoring on Q4 specifically (not a blend of the Q3 Reforecast's already-reported Q1/Q2 actuals): it recovers the Q3 Reforecast's own forward-looking Annual Build total (row 99), the pace implied by extrapolating the current Q2-actual-adjusted trajectory across the full year -- a genuinely different, and lower, number than the Q3 Reforecast's blended FY26 Total (col AD).</t>
        </is>
      </c>
      <c r="D116" s="218" t="n"/>
      <c r="E116" s="218" t="n"/>
      <c r="F116" s="218" t="n"/>
      <c r="G116" s="218" t="n"/>
      <c r="H116" s="218" t="n"/>
      <c r="I116" s="218" t="n"/>
      <c r="J116" s="218" t="n"/>
      <c r="K116" s="218" t="n"/>
      <c r="L116" s="218" t="n"/>
      <c r="M116" s="218" t="n"/>
      <c r="N116" s="218" t="n"/>
      <c r="O116" s="218" t="n"/>
      <c r="P116" s="218" t="n"/>
      <c r="Q116" s="218" t="n"/>
      <c r="R116" s="218" t="n"/>
      <c r="S116" s="218" t="n"/>
      <c r="T116" s="218" t="n"/>
      <c r="U116" s="218" t="n"/>
      <c r="V116" s="218" t="n"/>
      <c r="W116" s="218" t="n"/>
      <c r="X116" s="218" t="n"/>
      <c r="Y116" s="218" t="n"/>
      <c r="Z116" s="218" t="n"/>
      <c r="AA116" s="218" t="n"/>
      <c r="AB116" s="218" t="n"/>
      <c r="AC116" s="218" t="n"/>
      <c r="AD116" s="218" t="n"/>
      <c r="AE116" s="218" t="n"/>
      <c r="AF116" s="218" t="n"/>
      <c r="AG116" s="218" t="n"/>
      <c r="AH116" s="218" t="n"/>
      <c r="AI116" s="218" t="n"/>
      <c r="AJ116" s="218" t="n"/>
      <c r="AK116" s="219" t="n"/>
    </row>
    <row r="117">
      <c r="A117" s="127" t="inlineStr">
        <is>
          <t>Wearables, Home and Accessories: Implied FY2026 Exit-Run-Rate Units (M)</t>
        </is>
      </c>
      <c r="B117" s="167">
        <f>B116/Wearables_Home_and_Accessories_ASP_Active</f>
        <v>222.787255036081</v>
      </c>
      <c r="C117" s="154" t="inlineStr">
        <is>
          <t>Exit run-rate revenue (row above) / Drivers!Wearables_Home_and_Accessories_ASP_Active -- the CURRENT Active ASP/ARPU (not the Historical Reference ASP Task 12 used for its FY2025 anchor), since the exit run-rate revenue already embeds a full year of Active-scenario ASP/FX/Mix via the AOP -&gt; Q1 FU -&gt; Q3 RF chain.</t>
        </is>
      </c>
      <c r="D117" s="218" t="n"/>
      <c r="E117" s="218" t="n"/>
      <c r="F117" s="218" t="n"/>
      <c r="G117" s="218" t="n"/>
      <c r="H117" s="218" t="n"/>
      <c r="I117" s="218" t="n"/>
      <c r="J117" s="218" t="n"/>
      <c r="K117" s="218" t="n"/>
      <c r="L117" s="218" t="n"/>
      <c r="M117" s="218" t="n"/>
      <c r="N117" s="218" t="n"/>
      <c r="O117" s="218" t="n"/>
      <c r="P117" s="218" t="n"/>
      <c r="Q117" s="218" t="n"/>
      <c r="R117" s="218" t="n"/>
      <c r="S117" s="218" t="n"/>
      <c r="T117" s="218" t="n"/>
      <c r="U117" s="218" t="n"/>
      <c r="V117" s="218" t="n"/>
      <c r="W117" s="218" t="n"/>
      <c r="X117" s="218" t="n"/>
      <c r="Y117" s="218" t="n"/>
      <c r="Z117" s="218" t="n"/>
      <c r="AA117" s="218" t="n"/>
      <c r="AB117" s="218" t="n"/>
      <c r="AC117" s="218" t="n"/>
      <c r="AD117" s="218" t="n"/>
      <c r="AE117" s="218" t="n"/>
      <c r="AF117" s="218" t="n"/>
      <c r="AG117" s="218" t="n"/>
      <c r="AH117" s="218" t="n"/>
      <c r="AI117" s="218" t="n"/>
      <c r="AJ117" s="218" t="n"/>
      <c r="AK117" s="219" t="n"/>
    </row>
    <row r="118">
      <c r="A118" s="164" t="inlineStr">
        <is>
          <t>Wearables, Home and Accessories: FY2027 AOP Annual Revenue ($M)</t>
        </is>
      </c>
      <c r="B118" s="146">
        <f>B117*(1+Wearables_Home_and_Accessories_Units_Growth_Active)*Wearables_Home_and_Accessories_ASP_Active*(1+FX_Impact_Active)*(1+Mix_Impact_Active)</f>
        <v>36756.2210912452</v>
      </c>
      <c r="C118" s="154" t="inlineStr">
        <is>
          <t>Implied exit-run-rate units/base x (1+Wearables_Home_and_Accessories_Units_Growth_Active) x Wearables_Home_and_Accessories_ASP_Active x (1+FX_Impact_Active) x (1+Mix_Impact_Active) -- one more year of Drivers Active growth applied on top of the FY2026 exit run-rate, same formula shape as Task 12's FY2025-anchor AOP build. FX_Impact_Active/Mix_Impact_Active are therefore applied for a second consecutive year (compounding with whatever FX/Mix was already embedded in the FY2026 build) -- immaterial at Base (both 0%), a real, documented compounding effect under Bull/Bear, since the Drivers tab has only one non-year-specific Active column shared by every downstream tab.</t>
        </is>
      </c>
      <c r="D118" s="218" t="n"/>
      <c r="E118" s="218" t="n"/>
      <c r="F118" s="218" t="n"/>
      <c r="G118" s="218" t="n"/>
      <c r="H118" s="218" t="n"/>
      <c r="I118" s="218" t="n"/>
      <c r="J118" s="218" t="n"/>
      <c r="K118" s="218" t="n"/>
      <c r="L118" s="218" t="n"/>
      <c r="M118" s="218" t="n"/>
      <c r="N118" s="218" t="n"/>
      <c r="O118" s="218" t="n"/>
      <c r="P118" s="218" t="n"/>
      <c r="Q118" s="218" t="n"/>
      <c r="R118" s="218" t="n"/>
      <c r="S118" s="218" t="n"/>
      <c r="T118" s="218" t="n"/>
      <c r="U118" s="218" t="n"/>
      <c r="V118" s="218" t="n"/>
      <c r="W118" s="218" t="n"/>
      <c r="X118" s="218" t="n"/>
      <c r="Y118" s="218" t="n"/>
      <c r="Z118" s="218" t="n"/>
      <c r="AA118" s="218" t="n"/>
      <c r="AB118" s="218" t="n"/>
      <c r="AC118" s="218" t="n"/>
      <c r="AD118" s="218" t="n"/>
      <c r="AE118" s="218" t="n"/>
      <c r="AF118" s="218" t="n"/>
      <c r="AG118" s="218" t="n"/>
      <c r="AH118" s="218" t="n"/>
      <c r="AI118" s="218" t="n"/>
      <c r="AJ118" s="218" t="n"/>
      <c r="AK118" s="219" t="n"/>
    </row>
    <row r="119">
      <c r="A119" s="127" t="inlineStr">
        <is>
          <t>Services: FY2026 Exit Run-Rate Annualized Revenue ($M)</t>
        </is>
      </c>
      <c r="B119" s="146">
        <f>AC40/$E$12</f>
        <v>128201.927344648</v>
      </c>
      <c r="C119" s="154" t="inlineStr">
        <is>
          <t>Q3 Reforecast's Q4 FY2026 quarterly revenue (AC40, still scenario-live and still carrying Task 14's Q2-actual driver adjustments) divided by the Q4 seasonality weight (row 12 col E, ~24.4%) to de-seasonalize it into an annualized run-rate. A naive x4 was tried first and rejected on code review: it implicitly assumes every quarter is an equal 25% share of the year, which this model's own measured weights (row 12: Q1 30.2%, Q2 23.1%, Q3 22.3%, Q4 24.4%) show is false -- x4 mechanically discounted the anchor by ~2.2% for a reason unrelated to business momentum. Dividing by the Q4 weight removes that artifact while still anchoring on Q4 specifically (not a blend of the Q3 Reforecast's already-reported Q1/Q2 actuals): it recovers the Q3 Reforecast's own forward-looking Annual Build total (row 99), the pace implied by extrapolating the current Q2-actual-adjusted trajectory across the full year -- a genuinely different, and lower, number than the Q3 Reforecast's blended FY26 Total (col AD).</t>
        </is>
      </c>
      <c r="D119" s="218" t="n"/>
      <c r="E119" s="218" t="n"/>
      <c r="F119" s="218" t="n"/>
      <c r="G119" s="218" t="n"/>
      <c r="H119" s="218" t="n"/>
      <c r="I119" s="218" t="n"/>
      <c r="J119" s="218" t="n"/>
      <c r="K119" s="218" t="n"/>
      <c r="L119" s="218" t="n"/>
      <c r="M119" s="218" t="n"/>
      <c r="N119" s="218" t="n"/>
      <c r="O119" s="218" t="n"/>
      <c r="P119" s="218" t="n"/>
      <c r="Q119" s="218" t="n"/>
      <c r="R119" s="218" t="n"/>
      <c r="S119" s="218" t="n"/>
      <c r="T119" s="218" t="n"/>
      <c r="U119" s="218" t="n"/>
      <c r="V119" s="218" t="n"/>
      <c r="W119" s="218" t="n"/>
      <c r="X119" s="218" t="n"/>
      <c r="Y119" s="218" t="n"/>
      <c r="Z119" s="218" t="n"/>
      <c r="AA119" s="218" t="n"/>
      <c r="AB119" s="218" t="n"/>
      <c r="AC119" s="218" t="n"/>
      <c r="AD119" s="218" t="n"/>
      <c r="AE119" s="218" t="n"/>
      <c r="AF119" s="218" t="n"/>
      <c r="AG119" s="218" t="n"/>
      <c r="AH119" s="218" t="n"/>
      <c r="AI119" s="218" t="n"/>
      <c r="AJ119" s="218" t="n"/>
      <c r="AK119" s="219" t="n"/>
    </row>
    <row r="120">
      <c r="A120" s="127" t="inlineStr">
        <is>
          <t>Services: Implied FY2026 Exit-Run-Rate Installed Base (M devices)</t>
        </is>
      </c>
      <c r="B120" s="167">
        <f>B119/Services_ARPU_Active</f>
        <v>2628.56993889278</v>
      </c>
      <c r="C120" s="154" t="inlineStr">
        <is>
          <t>Exit run-rate revenue (row above) / Drivers!Services_ARPU_Active -- the CURRENT Active ASP/ARPU (not the Historical Reference ASP Task 12 used for its FY2025 anchor), since the exit run-rate revenue already embeds a full year of Active-scenario ASP/FX/Mix via the AOP -&gt; Q1 FU -&gt; Q3 RF chain.</t>
        </is>
      </c>
      <c r="D120" s="218" t="n"/>
      <c r="E120" s="218" t="n"/>
      <c r="F120" s="218" t="n"/>
      <c r="G120" s="218" t="n"/>
      <c r="H120" s="218" t="n"/>
      <c r="I120" s="218" t="n"/>
      <c r="J120" s="218" t="n"/>
      <c r="K120" s="218" t="n"/>
      <c r="L120" s="218" t="n"/>
      <c r="M120" s="218" t="n"/>
      <c r="N120" s="218" t="n"/>
      <c r="O120" s="218" t="n"/>
      <c r="P120" s="218" t="n"/>
      <c r="Q120" s="218" t="n"/>
      <c r="R120" s="218" t="n"/>
      <c r="S120" s="218" t="n"/>
      <c r="T120" s="218" t="n"/>
      <c r="U120" s="218" t="n"/>
      <c r="V120" s="218" t="n"/>
      <c r="W120" s="218" t="n"/>
      <c r="X120" s="218" t="n"/>
      <c r="Y120" s="218" t="n"/>
      <c r="Z120" s="218" t="n"/>
      <c r="AA120" s="218" t="n"/>
      <c r="AB120" s="218" t="n"/>
      <c r="AC120" s="218" t="n"/>
      <c r="AD120" s="218" t="n"/>
      <c r="AE120" s="218" t="n"/>
      <c r="AF120" s="218" t="n"/>
      <c r="AG120" s="218" t="n"/>
      <c r="AH120" s="218" t="n"/>
      <c r="AI120" s="218" t="n"/>
      <c r="AJ120" s="218" t="n"/>
      <c r="AK120" s="219" t="n"/>
    </row>
    <row r="121">
      <c r="A121" s="164" t="inlineStr">
        <is>
          <t>Services: FY2027 AOP Annual Revenue ($M)</t>
        </is>
      </c>
      <c r="B121" s="146">
        <f>B120*(1+Services_InstalledBase_Growth_Active)*Services_ARPU_Active*(1+FX_Impact_Active)*(1+Mix_Impact_Active)</f>
        <v>137817.071895497</v>
      </c>
      <c r="C121" s="154" t="inlineStr">
        <is>
          <t>Implied exit-run-rate units/base x (1+Services_InstalledBase_Growth_Active) x Services_ARPU_Active x (1+FX_Impact_Active) x (1+Mix_Impact_Active) -- one more year of Drivers Active growth applied on top of the FY2026 exit run-rate, same formula shape as Task 12's FY2025-anchor AOP build. FX_Impact_Active/Mix_Impact_Active are therefore applied for a second consecutive year (compounding with whatever FX/Mix was already embedded in the FY2026 build) -- immaterial at Base (both 0%), a real, documented compounding effect under Bull/Bear, since the Drivers tab has only one non-year-specific Active column shared by every downstream tab.</t>
        </is>
      </c>
      <c r="D121" s="218" t="n"/>
      <c r="E121" s="218" t="n"/>
      <c r="F121" s="218" t="n"/>
      <c r="G121" s="218" t="n"/>
      <c r="H121" s="218" t="n"/>
      <c r="I121" s="218" t="n"/>
      <c r="J121" s="218" t="n"/>
      <c r="K121" s="218" t="n"/>
      <c r="L121" s="218" t="n"/>
      <c r="M121" s="218" t="n"/>
      <c r="N121" s="218" t="n"/>
      <c r="O121" s="218" t="n"/>
      <c r="P121" s="218" t="n"/>
      <c r="Q121" s="218" t="n"/>
      <c r="R121" s="218" t="n"/>
      <c r="S121" s="218" t="n"/>
      <c r="T121" s="218" t="n"/>
      <c r="U121" s="218" t="n"/>
      <c r="V121" s="218" t="n"/>
      <c r="W121" s="218" t="n"/>
      <c r="X121" s="218" t="n"/>
      <c r="Y121" s="218" t="n"/>
      <c r="Z121" s="218" t="n"/>
      <c r="AA121" s="218" t="n"/>
      <c r="AB121" s="218" t="n"/>
      <c r="AC121" s="218" t="n"/>
      <c r="AD121" s="218" t="n"/>
      <c r="AE121" s="218" t="n"/>
      <c r="AF121" s="218" t="n"/>
      <c r="AG121" s="218" t="n"/>
      <c r="AH121" s="218" t="n"/>
      <c r="AI121" s="218" t="n"/>
      <c r="AJ121" s="218" t="n"/>
      <c r="AK121" s="219" t="n"/>
    </row>
    <row r="122">
      <c r="A122" s="129" t="n"/>
      <c r="B122" s="129" t="n"/>
      <c r="C122" s="129" t="n"/>
      <c r="D122" s="129" t="n"/>
      <c r="E122" s="129" t="n"/>
      <c r="F122" s="129" t="n"/>
      <c r="G122" s="129" t="n"/>
      <c r="H122" s="129" t="n"/>
      <c r="I122" s="129" t="n"/>
      <c r="J122" s="129" t="n"/>
      <c r="K122" s="129" t="n"/>
      <c r="L122" s="129" t="n"/>
      <c r="M122" s="129" t="n"/>
      <c r="N122" s="129" t="n"/>
      <c r="O122" s="129" t="n"/>
      <c r="P122" s="129" t="n"/>
      <c r="Q122" s="129" t="n"/>
      <c r="R122" s="129" t="n"/>
      <c r="S122" s="129" t="n"/>
      <c r="T122" s="129" t="n"/>
      <c r="U122" s="129" t="n"/>
      <c r="V122" s="129" t="n"/>
      <c r="W122" s="129" t="n"/>
      <c r="X122" s="129" t="n"/>
      <c r="Y122" s="129" t="n"/>
      <c r="Z122" s="129" t="n"/>
      <c r="AA122" s="129" t="n"/>
      <c r="AB122" s="129" t="n"/>
      <c r="AC122" s="129" t="n"/>
      <c r="AD122" s="129" t="n"/>
      <c r="AE122" s="129" t="n"/>
      <c r="AF122" s="129" t="n"/>
      <c r="AG122" s="129" t="n"/>
      <c r="AH122" s="129" t="n"/>
      <c r="AI122" s="129" t="n"/>
      <c r="AJ122" s="129" t="n"/>
      <c r="AK122" s="129" t="n"/>
    </row>
    <row r="123">
      <c r="A123" s="164" t="inlineStr">
        <is>
          <t>Total FY2027 AOP Annual Revenue ($M)</t>
        </is>
      </c>
      <c r="B123" s="146">
        <f>B109+B112+B115+B118+B121</f>
        <v>472615.551531282</v>
      </c>
      <c r="C123" s="129" t="n"/>
      <c r="D123" s="129" t="n"/>
      <c r="E123" s="129" t="n"/>
      <c r="F123" s="129" t="n"/>
      <c r="G123" s="129" t="n"/>
      <c r="H123" s="129" t="n"/>
      <c r="I123" s="129" t="n"/>
      <c r="J123" s="129" t="n"/>
      <c r="K123" s="129" t="n"/>
      <c r="L123" s="129" t="n"/>
      <c r="M123" s="129" t="n"/>
      <c r="N123" s="129" t="n"/>
      <c r="O123" s="129" t="n"/>
      <c r="P123" s="129" t="n"/>
      <c r="Q123" s="129" t="n"/>
      <c r="R123" s="129" t="n"/>
      <c r="S123" s="129" t="n"/>
      <c r="T123" s="129" t="n"/>
      <c r="U123" s="129" t="n"/>
      <c r="V123" s="129" t="n"/>
      <c r="W123" s="129" t="n"/>
      <c r="X123" s="129" t="n"/>
      <c r="Y123" s="129" t="n"/>
      <c r="Z123" s="129" t="n"/>
      <c r="AA123" s="129" t="n"/>
      <c r="AB123" s="129" t="n"/>
      <c r="AC123" s="129" t="n"/>
      <c r="AD123" s="129" t="n"/>
      <c r="AE123" s="129" t="n"/>
      <c r="AF123" s="129" t="n"/>
      <c r="AG123" s="129" t="n"/>
      <c r="AH123" s="129" t="n"/>
      <c r="AI123" s="129" t="n"/>
      <c r="AJ123" s="129" t="n"/>
      <c r="AK123" s="129" t="n"/>
    </row>
    <row r="124">
      <c r="A124" s="129" t="n"/>
      <c r="B124" s="129" t="n"/>
      <c r="C124" s="129" t="n"/>
      <c r="D124" s="129" t="n"/>
      <c r="E124" s="129" t="n"/>
      <c r="F124" s="129" t="n"/>
      <c r="G124" s="129" t="n"/>
      <c r="H124" s="129" t="n"/>
      <c r="I124" s="129" t="n"/>
      <c r="J124" s="129" t="n"/>
      <c r="K124" s="129" t="n"/>
      <c r="L124" s="129" t="n"/>
      <c r="M124" s="129" t="n"/>
      <c r="N124" s="129" t="n"/>
      <c r="O124" s="129" t="n"/>
      <c r="P124" s="129" t="n"/>
      <c r="Q124" s="129" t="n"/>
      <c r="R124" s="129" t="n"/>
      <c r="S124" s="129" t="n"/>
      <c r="T124" s="129" t="n"/>
      <c r="U124" s="129" t="n"/>
      <c r="V124" s="129" t="n"/>
      <c r="W124" s="129" t="n"/>
      <c r="X124" s="129" t="n"/>
      <c r="Y124" s="129" t="n"/>
      <c r="Z124" s="129" t="n"/>
      <c r="AA124" s="129" t="n"/>
      <c r="AB124" s="129" t="n"/>
      <c r="AC124" s="129" t="n"/>
      <c r="AD124" s="129" t="n"/>
      <c r="AE124" s="129" t="n"/>
      <c r="AF124" s="129" t="n"/>
      <c r="AG124" s="129" t="n"/>
      <c r="AH124" s="129" t="n"/>
      <c r="AI124" s="129" t="n"/>
      <c r="AJ124" s="129" t="n"/>
      <c r="AK124" s="129" t="n"/>
    </row>
    <row r="125" ht="48" customHeight="1">
      <c r="A125" s="154" t="inlineStr">
        <is>
          <t>WHY NO DRIVER ADJUSTMENT LOG FOR THIS VINTAGE: Tasks 13-14's logs compared a REALIZED actual quarter against a prior vintage's forecast of that same quarter, and carried forward only the MATERIAL variances. FY2027 AOP has no such comparison available -- FY2027 has not started, so there is no FY2027 actual to compare against a prior FY2027 forecast. This vintage is therefore built entirely from the Drivers tab's Active assumptions (fresh forward plan), like Task 12's original AOP, with the single documented judgment call being the exit-run-rate annualization method above (rows 107-121) -- not an actual-vs-forecast materiality test.</t>
        </is>
      </c>
      <c r="B125" s="218" t="n"/>
      <c r="C125" s="218" t="n"/>
      <c r="D125" s="218" t="n"/>
      <c r="E125" s="218" t="n"/>
      <c r="F125" s="218" t="n"/>
      <c r="G125" s="218" t="n"/>
      <c r="H125" s="218" t="n"/>
      <c r="I125" s="218" t="n"/>
      <c r="J125" s="218" t="n"/>
      <c r="K125" s="218" t="n"/>
      <c r="L125" s="218" t="n"/>
      <c r="M125" s="218" t="n"/>
      <c r="N125" s="218" t="n"/>
      <c r="O125" s="218" t="n"/>
      <c r="P125" s="218" t="n"/>
      <c r="Q125" s="218" t="n"/>
      <c r="R125" s="218" t="n"/>
      <c r="S125" s="218" t="n"/>
      <c r="T125" s="218" t="n"/>
      <c r="U125" s="218" t="n"/>
      <c r="V125" s="218" t="n"/>
      <c r="W125" s="218" t="n"/>
      <c r="X125" s="218" t="n"/>
      <c r="Y125" s="218" t="n"/>
      <c r="Z125" s="218" t="n"/>
      <c r="AA125" s="218" t="n"/>
      <c r="AB125" s="218" t="n"/>
      <c r="AC125" s="218" t="n"/>
      <c r="AD125" s="218" t="n"/>
      <c r="AE125" s="218" t="n"/>
      <c r="AF125" s="218" t="n"/>
      <c r="AG125" s="218" t="n"/>
      <c r="AH125" s="218" t="n"/>
      <c r="AI125" s="218" t="n"/>
      <c r="AJ125" s="218" t="n"/>
      <c r="AK125" s="219" t="n"/>
    </row>
    <row r="126">
      <c r="A126" s="129" t="n"/>
      <c r="B126" s="129" t="n"/>
      <c r="C126" s="129" t="n"/>
      <c r="D126" s="129" t="n"/>
      <c r="E126" s="129" t="n"/>
      <c r="F126" s="129" t="n"/>
      <c r="G126" s="129" t="n"/>
      <c r="H126" s="129" t="n"/>
      <c r="I126" s="129" t="n"/>
      <c r="J126" s="129" t="n"/>
      <c r="K126" s="129" t="n"/>
      <c r="L126" s="129" t="n"/>
      <c r="M126" s="129" t="n"/>
      <c r="N126" s="129" t="n"/>
      <c r="O126" s="129" t="n"/>
      <c r="P126" s="129" t="n"/>
      <c r="Q126" s="129" t="n"/>
      <c r="R126" s="129" t="n"/>
      <c r="S126" s="129" t="n"/>
      <c r="T126" s="129" t="n"/>
      <c r="U126" s="129" t="n"/>
      <c r="V126" s="129" t="n"/>
      <c r="W126" s="129" t="n"/>
      <c r="X126" s="129" t="n"/>
      <c r="Y126" s="129" t="n"/>
      <c r="Z126" s="129" t="n"/>
      <c r="AA126" s="129" t="n"/>
      <c r="AB126" s="129" t="n"/>
      <c r="AC126" s="129" t="n"/>
      <c r="AD126" s="129" t="n"/>
      <c r="AE126" s="129" t="n"/>
      <c r="AF126" s="129" t="n"/>
      <c r="AG126" s="129" t="n"/>
      <c r="AH126" s="129" t="n"/>
      <c r="AI126" s="129" t="n"/>
      <c r="AJ126" s="129" t="n"/>
      <c r="AK126" s="129" t="n"/>
    </row>
    <row r="127" ht="48" customHeight="1">
      <c r="A127" s="154" t="inlineStr">
        <is>
          <t>Color legend (FY2027 AOP block): purple header/light purple cells = FY2027 AOP formula output (references Drivers Active named ranges directly, exactly like Task 12's original AOP -- no Q3 Reforecast driver overrides carried forward); light grey Total column = sum/recompute of the four FY2027 AOP quarters. Anchor: FY2026 Exit Run-Rate Annualized Revenue (rows 107-121) = Q3 Reforecast's Q4 FY2026 quarterly revenue (col AC) divided by the Q4 seasonality weight (row 12 col E) -- deliberately NOT a naive x4 (see row 107 note for why) and NOT the Q3 Reforecast's FY26 Total (see row 105 note). This vintage (FY2027 AOP) is the fifth and FINAL vintage in the rolling-forecast chain.</t>
        </is>
      </c>
      <c r="B127" s="218" t="n"/>
      <c r="C127" s="218" t="n"/>
      <c r="D127" s="218" t="n"/>
      <c r="E127" s="218" t="n"/>
      <c r="F127" s="218" t="n"/>
      <c r="G127" s="218" t="n"/>
      <c r="H127" s="218" t="n"/>
      <c r="I127" s="218" t="n"/>
      <c r="J127" s="218" t="n"/>
      <c r="K127" s="218" t="n"/>
      <c r="L127" s="218" t="n"/>
      <c r="M127" s="218" t="n"/>
      <c r="N127" s="218" t="n"/>
      <c r="O127" s="218" t="n"/>
      <c r="P127" s="218" t="n"/>
      <c r="Q127" s="218" t="n"/>
      <c r="R127" s="218" t="n"/>
      <c r="S127" s="218" t="n"/>
      <c r="T127" s="218" t="n"/>
      <c r="U127" s="218" t="n"/>
      <c r="V127" s="218" t="n"/>
      <c r="W127" s="218" t="n"/>
      <c r="X127" s="218" t="n"/>
      <c r="Y127" s="218" t="n"/>
      <c r="Z127" s="218" t="n"/>
      <c r="AA127" s="218" t="n"/>
      <c r="AB127" s="218" t="n"/>
      <c r="AC127" s="218" t="n"/>
      <c r="AD127" s="218" t="n"/>
      <c r="AE127" s="218" t="n"/>
      <c r="AF127" s="218" t="n"/>
      <c r="AG127" s="218" t="n"/>
      <c r="AH127" s="218" t="n"/>
      <c r="AI127" s="218" t="n"/>
      <c r="AJ127" s="218" t="n"/>
      <c r="AK127" s="219" t="n"/>
    </row>
  </sheetData>
  <mergeCells count="81">
    <mergeCell ref="C30:P30"/>
    <mergeCell ref="A80:X80"/>
    <mergeCell ref="C108:AK108"/>
    <mergeCell ref="C113:AK113"/>
    <mergeCell ref="A59:P59"/>
    <mergeCell ref="C112:AK112"/>
    <mergeCell ref="C109:AK109"/>
    <mergeCell ref="C21:P21"/>
    <mergeCell ref="A82:AE82"/>
    <mergeCell ref="AF5:AJ5"/>
    <mergeCell ref="C73:X73"/>
    <mergeCell ref="C114:AK114"/>
    <mergeCell ref="A103:AK103"/>
    <mergeCell ref="C23:P23"/>
    <mergeCell ref="A84:AE84"/>
    <mergeCell ref="C106:AK106"/>
    <mergeCell ref="A33:P33"/>
    <mergeCell ref="C18:P18"/>
    <mergeCell ref="Y5:AA5"/>
    <mergeCell ref="Q5:S5"/>
    <mergeCell ref="A8:P8"/>
    <mergeCell ref="C96:AE96"/>
    <mergeCell ref="H67:X67"/>
    <mergeCell ref="H89:AE89"/>
    <mergeCell ref="B5:K5"/>
    <mergeCell ref="H88:AE88"/>
    <mergeCell ref="C98:AE98"/>
    <mergeCell ref="C72:X72"/>
    <mergeCell ref="C20:P20"/>
    <mergeCell ref="C29:P29"/>
    <mergeCell ref="H90:AE90"/>
    <mergeCell ref="H64:X64"/>
    <mergeCell ref="C22:P22"/>
    <mergeCell ref="H87:AE87"/>
    <mergeCell ref="C117:AK117"/>
    <mergeCell ref="C93:AE93"/>
    <mergeCell ref="A1:P1"/>
    <mergeCell ref="C118:AK118"/>
    <mergeCell ref="C115:AK115"/>
    <mergeCell ref="H65:X65"/>
    <mergeCell ref="AB5:AD5"/>
    <mergeCell ref="A61:X61"/>
    <mergeCell ref="A101:AE101"/>
    <mergeCell ref="C76:X76"/>
    <mergeCell ref="C24:P24"/>
    <mergeCell ref="C26:P26"/>
    <mergeCell ref="C107:AK107"/>
    <mergeCell ref="C97:AE97"/>
    <mergeCell ref="C116:AK116"/>
    <mergeCell ref="C16:P16"/>
    <mergeCell ref="C25:P25"/>
    <mergeCell ref="A92:AE92"/>
    <mergeCell ref="C121:AK121"/>
    <mergeCell ref="A2:P2"/>
    <mergeCell ref="C95:AE95"/>
    <mergeCell ref="C120:AK120"/>
    <mergeCell ref="C119:AK119"/>
    <mergeCell ref="A3:P3"/>
    <mergeCell ref="C111:AK111"/>
    <mergeCell ref="H85:AE85"/>
    <mergeCell ref="A125:AK125"/>
    <mergeCell ref="H68:X68"/>
    <mergeCell ref="A71:X71"/>
    <mergeCell ref="L5:P5"/>
    <mergeCell ref="A15:P15"/>
    <mergeCell ref="T5:W5"/>
    <mergeCell ref="C77:X77"/>
    <mergeCell ref="C94:AE94"/>
    <mergeCell ref="A127:AK127"/>
    <mergeCell ref="H86:AE86"/>
    <mergeCell ref="C74:X74"/>
    <mergeCell ref="H69:X69"/>
    <mergeCell ref="A63:X63"/>
    <mergeCell ref="C27:P27"/>
    <mergeCell ref="H66:X66"/>
    <mergeCell ref="C17:P17"/>
    <mergeCell ref="C110:AK110"/>
    <mergeCell ref="C75:X75"/>
    <mergeCell ref="C19:P19"/>
    <mergeCell ref="C28:P28"/>
    <mergeCell ref="A105:AK10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K63"/>
  <sheetViews>
    <sheetView showGridLines="1" workbookViewId="0">
      <pane xSplit="1" ySplit="6" topLeftCell="B7" activePane="bottomRight" state="frozen"/>
      <selection pane="top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46"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3" customWidth="1" min="18" max="18"/>
    <col width="3" customWidth="1" min="19" max="19"/>
    <col width="13" customWidth="1" min="20" max="20"/>
    <col width="13" customWidth="1" min="21" max="21"/>
    <col width="13" customWidth="1" min="22" max="22"/>
    <col width="13" customWidth="1" min="23" max="23"/>
    <col width="3" customWidth="1" min="24" max="24"/>
    <col width="13" customWidth="1" min="25" max="25"/>
    <col width="3" customWidth="1" min="26" max="26"/>
    <col width="3" customWidth="1" min="27" max="27"/>
    <col width="13" customWidth="1" min="28" max="28"/>
    <col width="13" customWidth="1" min="29" max="29"/>
    <col width="13" customWidth="1" min="30" max="30"/>
    <col width="3" customWidth="1" min="31" max="31"/>
    <col width="13" customWidth="1" min="32" max="32"/>
    <col width="13" customWidth="1" min="33" max="33"/>
    <col width="13" customWidth="1" min="34" max="34"/>
    <col width="13" customWidth="1" min="35" max="35"/>
    <col width="13" customWidth="1" min="36" max="36"/>
    <col width="3" customWidth="1" min="37" max="37"/>
  </cols>
  <sheetData>
    <row r="1" ht="22" customHeight="1">
      <c r="A1" s="126" t="inlineStr">
        <is>
          <t>Apple Inc. -- Driver-Based Rolling Forecast Model: BALANCE SHEET (BS)</t>
        </is>
      </c>
      <c r="B1" s="218" t="n"/>
      <c r="C1" s="218" t="n"/>
      <c r="D1" s="218" t="n"/>
      <c r="E1" s="218" t="n"/>
      <c r="F1" s="218" t="n"/>
      <c r="G1" s="218" t="n"/>
      <c r="H1" s="218" t="n"/>
      <c r="I1" s="218" t="n"/>
      <c r="J1" s="218" t="n"/>
      <c r="K1" s="218" t="n"/>
      <c r="L1" s="218" t="n"/>
      <c r="M1" s="218" t="n"/>
      <c r="N1" s="218" t="n"/>
      <c r="O1" s="218" t="n"/>
      <c r="P1" s="218" t="n"/>
      <c r="Q1" s="218" t="n"/>
      <c r="R1" s="218" t="n"/>
      <c r="S1" s="218" t="n"/>
      <c r="T1" s="218" t="n"/>
      <c r="U1" s="218" t="n"/>
      <c r="V1" s="218" t="n"/>
      <c r="W1" s="218" t="n"/>
      <c r="X1" s="218" t="n"/>
      <c r="Y1" s="218" t="n"/>
      <c r="Z1" s="218" t="n"/>
      <c r="AA1" s="218" t="n"/>
      <c r="AB1" s="218" t="n"/>
      <c r="AC1" s="218" t="n"/>
      <c r="AD1" s="218" t="n"/>
      <c r="AE1" s="218" t="n"/>
      <c r="AF1" s="218" t="n"/>
      <c r="AG1" s="218" t="n"/>
      <c r="AH1" s="218" t="n"/>
      <c r="AI1" s="218" t="n"/>
      <c r="AJ1" s="218" t="n"/>
      <c r="AK1" s="219" t="n"/>
    </row>
    <row r="2" ht="170" customHeight="1">
      <c r="A2" s="176" t="inlineStr">
        <is>
          <t>Historical actuals: the Historical Database's Quarterly tab discloses only Cash, Accounts receivable, Inventories and Accounts payable at discrete-quarter grain for all 10 historical quarters (B:K) -- shown as real literal inputs. Columns E (FY24 Q4) and I (FY25 Q4) are fiscal year-ends, so the Historical Database's Annual tab supplies a COMPLETE real 10-K balance sheet for those two columns specifically; every other historical column shows 'n/a' for line items not disclosed at quarterly grain -- never fabricated. The Q1/Q2 FY2026 Actual overlay columns (Q, Y) are treated identically: real Cash/AR/Inventory/AP only, 'n/a' elsewhere (Apple does not disclose quarterly PP&amp;E/debt/equity detail). WHY FORECAST CASH DOES NOT RE-ANCHOR TO THESE REAL OVERLAY COLUMNS (design choice, not an oversight): a modeled 'flash close' that tried to chain the NEXT forecast quarter's PP&amp;E/debt/Retained-Earnings roll-forward through Q or Y is mathematically impossible to balance without a hidden plug -- Q/Y carry REAL Cash/AR/Inventory/AP, but Apple does not disclose quarterly PP&amp;E, debt, or equity detail, so any modeled PP&amp;E/debt/equity value placed at that same column would not reconcile against the real cash/working-capital figures already sitting there (the residual would be exactly 'what cash would have had to be, had it been computed instead of real' -- a disguised plug). FIX ADOPTED: every downstream forecast column's PP&amp;E/Term-debt/Retained-Earnings/CF-Begin-Cash roll-forward skips Q and Y and chains instead from the last fully-MODELED column of a prior vintage (T's own Q2 roll-forward prior is L, not Q; AB's own Q3 roll-forward prior is T, not Y -- see PRIOR_COL in scripts/build_bs_cf_tabs.py for the complete map) -- proved by induction to keep the balance check at exactly $0 for every scenario. CONSEQUENCE, STATED EXPLICITLY: because forecast cash rolls forward from prior MODELED cash rather than resetting to the real disclosed balance each quarter, modeled cash increasingly diverges from real reported cash as actuals come in -- e.g. in this delivered file, the live Q3 Reforecast vintage's FY2026-exit modeled cash (col AD, row 9) is ~$29.8B vs. the real FY2026 Q2 reported cash of ~$45.6B sitting two columns to the left in this same row (col K) -- a ~$15.8B / ~35% gap. This is a disclosed methodological limitation of the 'flash close' hybrid design (real revenue actuals feed the IS tab; cash/PP&amp;E/debt/equity remain fully modeled because Apple does not disclose quarterly detail for them), not a formula error -- the balance check (row 39) still holds at $0 on every column with a full balance sheet.</t>
        </is>
      </c>
      <c r="B2" s="218" t="n"/>
      <c r="C2" s="218" t="n"/>
      <c r="D2" s="218" t="n"/>
      <c r="E2" s="218" t="n"/>
      <c r="F2" s="218" t="n"/>
      <c r="G2" s="218" t="n"/>
      <c r="H2" s="218" t="n"/>
      <c r="I2" s="218" t="n"/>
      <c r="J2" s="218" t="n"/>
      <c r="K2" s="218" t="n"/>
      <c r="L2" s="218" t="n"/>
      <c r="M2" s="218" t="n"/>
      <c r="N2" s="218" t="n"/>
      <c r="O2" s="218" t="n"/>
      <c r="P2" s="218" t="n"/>
      <c r="Q2" s="218" t="n"/>
      <c r="R2" s="218" t="n"/>
      <c r="S2" s="218" t="n"/>
      <c r="T2" s="218" t="n"/>
      <c r="U2" s="218" t="n"/>
      <c r="V2" s="218" t="n"/>
      <c r="W2" s="218" t="n"/>
      <c r="X2" s="218" t="n"/>
      <c r="Y2" s="218" t="n"/>
      <c r="Z2" s="218" t="n"/>
      <c r="AA2" s="218" t="n"/>
      <c r="AB2" s="218" t="n"/>
      <c r="AC2" s="218" t="n"/>
      <c r="AD2" s="218" t="n"/>
      <c r="AE2" s="218" t="n"/>
      <c r="AF2" s="218" t="n"/>
      <c r="AG2" s="218" t="n"/>
      <c r="AH2" s="218" t="n"/>
      <c r="AI2" s="218" t="n"/>
      <c r="AJ2" s="218" t="n"/>
      <c r="AK2" s="219" t="n"/>
    </row>
    <row r="3" ht="40" customHeight="1">
      <c r="A3" s="133" t="inlineStr">
        <is>
          <t>Forecast columns: AR/Inventory/AP are driven by Drivers!DSO_Active/DIO_Active/DPO_Active (never a rollforward plug); PP&amp;E, non-current Term Debt, and Retained Earnings are genuine roll-forwards; Cash is pulled from the CF tab's own computed ending-cash balance (never independently plugged). Every other BS line item is held FLAT at the FY25 Q4 anchor (col I) -- documented per-item in the block starting row 41 below. 'Total' columns (P/W/AD/AJ) mirror that vintage's own Q4 column -- a balance sheet is a point-in-time stock, not a summable flow like the IS tab's Totals.</t>
        </is>
      </c>
      <c r="B3" s="218" t="n"/>
      <c r="C3" s="218" t="n"/>
      <c r="D3" s="218" t="n"/>
      <c r="E3" s="218" t="n"/>
      <c r="F3" s="218" t="n"/>
      <c r="G3" s="218" t="n"/>
      <c r="H3" s="218" t="n"/>
      <c r="I3" s="218" t="n"/>
      <c r="J3" s="218" t="n"/>
      <c r="K3" s="218" t="n"/>
      <c r="L3" s="218" t="n"/>
      <c r="M3" s="218" t="n"/>
      <c r="N3" s="218" t="n"/>
      <c r="O3" s="218" t="n"/>
      <c r="P3" s="218" t="n"/>
      <c r="Q3" s="218" t="n"/>
      <c r="R3" s="218" t="n"/>
      <c r="S3" s="218" t="n"/>
      <c r="T3" s="218" t="n"/>
      <c r="U3" s="218" t="n"/>
      <c r="V3" s="218" t="n"/>
      <c r="W3" s="218" t="n"/>
      <c r="X3" s="218" t="n"/>
      <c r="Y3" s="218" t="n"/>
      <c r="Z3" s="218" t="n"/>
      <c r="AA3" s="218" t="n"/>
      <c r="AB3" s="218" t="n"/>
      <c r="AC3" s="218" t="n"/>
      <c r="AD3" s="218" t="n"/>
      <c r="AE3" s="218" t="n"/>
      <c r="AF3" s="218" t="n"/>
      <c r="AG3" s="218" t="n"/>
      <c r="AH3" s="218" t="n"/>
      <c r="AI3" s="218" t="n"/>
      <c r="AJ3" s="218" t="n"/>
      <c r="AK3" s="219" t="n"/>
    </row>
    <row r="4">
      <c r="A4" s="129" t="n"/>
      <c r="B4" s="129" t="n"/>
      <c r="C4" s="129" t="n"/>
      <c r="D4" s="129" t="n"/>
      <c r="E4" s="129" t="n"/>
      <c r="F4" s="129" t="n"/>
      <c r="G4" s="129" t="n"/>
      <c r="H4" s="129" t="n"/>
      <c r="I4" s="129" t="n"/>
      <c r="J4" s="129" t="n"/>
      <c r="K4" s="129" t="n"/>
      <c r="L4" s="129" t="n"/>
      <c r="M4" s="129" t="n"/>
      <c r="N4" s="129" t="n"/>
      <c r="O4" s="129" t="n"/>
      <c r="P4" s="129" t="n"/>
      <c r="Q4" s="129" t="n"/>
      <c r="R4" s="129" t="n"/>
      <c r="S4" s="129" t="n"/>
      <c r="T4" s="129" t="n"/>
      <c r="U4" s="129" t="n"/>
      <c r="V4" s="129" t="n"/>
      <c r="W4" s="129" t="n"/>
      <c r="X4" s="129" t="n"/>
      <c r="Y4" s="129" t="n"/>
      <c r="Z4" s="129" t="n"/>
      <c r="AA4" s="129" t="n"/>
      <c r="AB4" s="129" t="n"/>
      <c r="AC4" s="129" t="n"/>
      <c r="AD4" s="129" t="n"/>
      <c r="AE4" s="129" t="n"/>
      <c r="AF4" s="129" t="n"/>
      <c r="AG4" s="129" t="n"/>
      <c r="AH4" s="129" t="n"/>
      <c r="AI4" s="129" t="n"/>
      <c r="AJ4" s="129" t="n"/>
      <c r="AK4" s="129" t="n"/>
    </row>
    <row r="5">
      <c r="A5" s="129" t="n"/>
      <c r="B5" s="168" t="str">
        <f>IS!B5</f>
        <v>HISTORICAL ACTUALS -- Source: 02 Historical Financial Database.xlsx, Quarterly tab (real values, not re-derived)</v>
      </c>
      <c r="C5" s="218" t="n"/>
      <c r="D5" s="218" t="n"/>
      <c r="E5" s="218" t="n"/>
      <c r="F5" s="218" t="n"/>
      <c r="G5" s="218" t="n"/>
      <c r="H5" s="218" t="n"/>
      <c r="I5" s="218" t="n"/>
      <c r="J5" s="218" t="n"/>
      <c r="K5" s="219" t="n"/>
      <c r="L5" s="168" t="str">
        <f>IS!L5</f>
        <v>FY2026 Approved AOP -- first rolling-forecast vintage (Drivers tab Active column; Base/Bull/Bear scenario switch at Drivers!B6)</v>
      </c>
      <c r="M5" s="218" t="n"/>
      <c r="N5" s="218" t="n"/>
      <c r="O5" s="218" t="n"/>
      <c r="P5" s="219" t="n"/>
      <c r="Q5" s="168" t="str">
        <f>IS!Q5</f>
        <v>Q1 FY2026 ACTUAL vs. APPROVED AOP VARIANCE -- Actual = mirror of historical col J (real data); Variance = Actual - Approved AOP Q1 (col L)</v>
      </c>
      <c r="R5" s="129" t="n"/>
      <c r="S5" s="129" t="n"/>
      <c r="T5" s="168" t="str">
        <f>IS!T5</f>
        <v>Q1 FORECAST UPDATE -- second rolling-forecast vintage (Q1 FY2026 actual reported; Q2-Q4 FY2026 reforecast using the Drivers tab Active column PLUS the Q1-actual driver adjustments in rows 63-78 below, in place of reverting to the original AOP assumptions where the Q1 variance was material)</v>
      </c>
      <c r="U5" s="218" t="n"/>
      <c r="V5" s="218" t="n"/>
      <c r="W5" s="219" t="n"/>
      <c r="X5" s="129" t="n"/>
      <c r="Y5" s="168" t="str">
        <f>IS!Y5</f>
        <v>Q2 FY2026 ACTUAL vs. Q1 FORECAST UPDATE VARIANCE -- Actual = mirror of historical col K (real data); Variance = Actual - Q1 Forecast Update's own Q2 column (T)</v>
      </c>
      <c r="Z5" s="129" t="n"/>
      <c r="AA5" s="129" t="n"/>
      <c r="AB5" s="168" t="str">
        <f>IS!AB5</f>
        <v>Q3 REFORECAST -- third rolling-forecast vintage, and the CURRENT / LIVE forecast in this project's story (Q1 and Q2 FY2026 are now both real actuals; Q3-Q4 reforecast using the Q1 Forecast Update's own Annual Build PLUS the Q2-actual driver adjustments in rows 84-99 below, in place of reverting to the Q1 Forecast Update's own assumptions where the Q2 variance was material)</v>
      </c>
      <c r="AC5" s="218" t="n"/>
      <c r="AD5" s="219" t="n"/>
      <c r="AE5" s="129" t="n"/>
      <c r="AF5" s="168" t="str">
        <f>IS!AF5</f>
        <v>FY2027 AOP -- fifth and FINAL rolling-forecast vintage: next year's Annual Operating Plan, built off the Q3 Reforecast's Q4 FY2026 EXIT run-rate (col AC de-seasonalized by dividing by the Q4 weight, row 12 col E -- NOT a naive x4, and NOT the Q3 Reforecast's FY26 Total), grown one more year via the Drivers tab's Active assumptions (Base/Bull/Bear switch at Drivers!B6). Fresh forward plan -- no Driver Adjustment Log (see row 125).</v>
      </c>
      <c r="AG5" s="218" t="n"/>
      <c r="AH5" s="218" t="n"/>
      <c r="AI5" s="218" t="n"/>
      <c r="AJ5" s="219" t="n"/>
      <c r="AK5" s="129" t="n"/>
    </row>
    <row r="6" ht="30" customHeight="1">
      <c r="A6" s="137" t="inlineStr">
        <is>
          <t>Line Item</t>
        </is>
      </c>
      <c r="B6" s="168" t="str">
        <f>IS!B6</f>
        <v>FY24 Q1</v>
      </c>
      <c r="C6" s="168" t="str">
        <f>IS!C6</f>
        <v>FY24 Q2</v>
      </c>
      <c r="D6" s="168" t="str">
        <f>IS!D6</f>
        <v>FY24 Q3</v>
      </c>
      <c r="E6" s="168" t="str">
        <f>IS!E6</f>
        <v>FY24 Q4</v>
      </c>
      <c r="F6" s="168" t="str">
        <f>IS!F6</f>
        <v>FY25 Q1</v>
      </c>
      <c r="G6" s="168" t="str">
        <f>IS!G6</f>
        <v>FY25 Q2</v>
      </c>
      <c r="H6" s="168" t="str">
        <f>IS!H6</f>
        <v>FY25 Q3</v>
      </c>
      <c r="I6" s="168" t="str">
        <f>IS!I6</f>
        <v>FY25 Q4</v>
      </c>
      <c r="J6" s="168" t="str">
        <f>IS!J6</f>
        <v>FY26 Q1 (Actual)</v>
      </c>
      <c r="K6" s="168" t="str">
        <f>IS!K6</f>
        <v>FY26 Q2 (Actual)</v>
      </c>
      <c r="L6" s="168" t="str">
        <f>IS!L6</f>
        <v>Q1 -- FY2026 Approved AOP</v>
      </c>
      <c r="M6" s="168" t="str">
        <f>IS!M6</f>
        <v>Q2 -- FY2026 Approved AOP</v>
      </c>
      <c r="N6" s="168" t="str">
        <f>IS!N6</f>
        <v>Q3 -- FY2026 Approved AOP</v>
      </c>
      <c r="O6" s="168" t="str">
        <f>IS!O6</f>
        <v>Q4 -- FY2026 Approved AOP</v>
      </c>
      <c r="P6" s="168" t="str">
        <f>IS!P6</f>
        <v>FY26 Total -- FY2026 Approved AOP</v>
      </c>
      <c r="Q6" s="168" t="str">
        <f>IS!Q6</f>
        <v>Q1 FY2026 Actual</v>
      </c>
      <c r="R6" s="129" t="n"/>
      <c r="S6" s="129" t="n"/>
      <c r="T6" s="168" t="str">
        <f>IS!T6</f>
        <v>Q2 -- Q1 Forecast Update</v>
      </c>
      <c r="U6" s="168" t="str">
        <f>IS!U6</f>
        <v>Q3 -- Q1 Forecast Update</v>
      </c>
      <c r="V6" s="168" t="str">
        <f>IS!V6</f>
        <v>Q4 -- Q1 Forecast Update</v>
      </c>
      <c r="W6" s="168" t="str">
        <f>IS!W6</f>
        <v>FY26 Total -- Q1 Forecast Update</v>
      </c>
      <c r="X6" s="129" t="n"/>
      <c r="Y6" s="168" t="str">
        <f>IS!Y6</f>
        <v>Q2 FY2026 Actual</v>
      </c>
      <c r="Z6" s="129" t="n"/>
      <c r="AA6" s="129" t="n"/>
      <c r="AB6" s="168" t="str">
        <f>IS!AB6</f>
        <v>Q3 -- Q3 Reforecast</v>
      </c>
      <c r="AC6" s="168" t="str">
        <f>IS!AC6</f>
        <v>Q4 -- Q3 Reforecast</v>
      </c>
      <c r="AD6" s="168" t="str">
        <f>IS!AD6</f>
        <v>FY26 Total -- Q3 Reforecast</v>
      </c>
      <c r="AE6" s="129" t="n"/>
      <c r="AF6" s="168" t="str">
        <f>IS!AF6</f>
        <v>Q1 -- FY2027 AOP</v>
      </c>
      <c r="AG6" s="168" t="str">
        <f>IS!AG6</f>
        <v>Q2 -- FY2027 AOP</v>
      </c>
      <c r="AH6" s="168" t="str">
        <f>IS!AH6</f>
        <v>Q3 -- FY2027 AOP</v>
      </c>
      <c r="AI6" s="168" t="str">
        <f>IS!AI6</f>
        <v>Q4 -- FY2027 AOP</v>
      </c>
      <c r="AJ6" s="168" t="str">
        <f>IS!AJ6</f>
        <v>FY27 Total -- FY2027 AOP</v>
      </c>
      <c r="AK6" s="129" t="n"/>
    </row>
    <row r="7">
      <c r="A7" s="129" t="n"/>
      <c r="B7" s="129" t="n"/>
      <c r="C7" s="129" t="n"/>
      <c r="D7" s="129" t="n"/>
      <c r="E7" s="129" t="n"/>
      <c r="F7" s="129" t="n"/>
      <c r="G7" s="129" t="n"/>
      <c r="H7" s="129" t="n"/>
      <c r="I7" s="129" t="n"/>
      <c r="J7" s="129" t="n"/>
      <c r="K7" s="129" t="n"/>
      <c r="L7" s="129" t="n"/>
      <c r="M7" s="129" t="n"/>
      <c r="N7" s="129" t="n"/>
      <c r="O7" s="129" t="n"/>
      <c r="P7" s="129" t="n"/>
      <c r="Q7" s="129" t="n"/>
      <c r="R7" s="129" t="n"/>
      <c r="S7" s="129" t="n"/>
      <c r="T7" s="129" t="n"/>
      <c r="U7" s="129" t="n"/>
      <c r="V7" s="129" t="n"/>
      <c r="W7" s="129" t="n"/>
      <c r="X7" s="129" t="n"/>
      <c r="Y7" s="129" t="n"/>
      <c r="Z7" s="129" t="n"/>
      <c r="AA7" s="129" t="n"/>
      <c r="AB7" s="129" t="n"/>
      <c r="AC7" s="129" t="n"/>
      <c r="AD7" s="129" t="n"/>
      <c r="AE7" s="129" t="n"/>
      <c r="AF7" s="129" t="n"/>
      <c r="AG7" s="129" t="n"/>
      <c r="AH7" s="129" t="n"/>
      <c r="AI7" s="129" t="n"/>
      <c r="AJ7" s="129" t="n"/>
      <c r="AK7" s="129" t="n"/>
    </row>
    <row r="8" ht="16" customHeight="1">
      <c r="A8" s="138" t="inlineStr">
        <is>
          <t>BALANCE SHEET (quarter-end / period-end)</t>
        </is>
      </c>
      <c r="B8" s="218" t="n"/>
      <c r="C8" s="218" t="n"/>
      <c r="D8" s="218" t="n"/>
      <c r="E8" s="218" t="n"/>
      <c r="F8" s="218" t="n"/>
      <c r="G8" s="218" t="n"/>
      <c r="H8" s="218" t="n"/>
      <c r="I8" s="218" t="n"/>
      <c r="J8" s="218" t="n"/>
      <c r="K8" s="218" t="n"/>
      <c r="L8" s="218" t="n"/>
      <c r="M8" s="218" t="n"/>
      <c r="N8" s="218" t="n"/>
      <c r="O8" s="218" t="n"/>
      <c r="P8" s="218" t="n"/>
      <c r="Q8" s="218" t="n"/>
      <c r="R8" s="218" t="n"/>
      <c r="S8" s="218" t="n"/>
      <c r="T8" s="218" t="n"/>
      <c r="U8" s="218" t="n"/>
      <c r="V8" s="218" t="n"/>
      <c r="W8" s="218" t="n"/>
      <c r="X8" s="218" t="n"/>
      <c r="Y8" s="218" t="n"/>
      <c r="Z8" s="218" t="n"/>
      <c r="AA8" s="218" t="n"/>
      <c r="AB8" s="218" t="n"/>
      <c r="AC8" s="218" t="n"/>
      <c r="AD8" s="218" t="n"/>
      <c r="AE8" s="218" t="n"/>
      <c r="AF8" s="218" t="n"/>
      <c r="AG8" s="218" t="n"/>
      <c r="AH8" s="218" t="n"/>
      <c r="AI8" s="218" t="n"/>
      <c r="AJ8" s="218" t="n"/>
      <c r="AK8" s="219" t="n"/>
    </row>
    <row r="9">
      <c r="A9" s="127" t="inlineStr">
        <is>
          <t>Cash and cash equivalents ($M)</t>
        </is>
      </c>
      <c r="B9" s="166" t="n">
        <v>40760</v>
      </c>
      <c r="C9" s="166" t="n">
        <v>32695</v>
      </c>
      <c r="D9" s="166" t="n">
        <v>25565</v>
      </c>
      <c r="E9" s="166" t="n">
        <v>29943</v>
      </c>
      <c r="F9" s="166" t="n">
        <v>30299</v>
      </c>
      <c r="G9" s="166" t="n">
        <v>28162</v>
      </c>
      <c r="H9" s="166" t="n">
        <v>36269</v>
      </c>
      <c r="I9" s="166" t="n">
        <v>35934</v>
      </c>
      <c r="J9" s="166" t="n">
        <v>45317</v>
      </c>
      <c r="K9" s="166" t="n">
        <v>45572</v>
      </c>
      <c r="L9" s="146">
        <f>CF!L30</f>
        <v>34880.1177367741</v>
      </c>
      <c r="M9" s="146">
        <f>CF!M30</f>
        <v>32705.4366886616</v>
      </c>
      <c r="N9" s="146">
        <f>CF!N30</f>
        <v>31259.7469684391</v>
      </c>
      <c r="O9" s="146">
        <f>CF!O30</f>
        <v>29998.9045116102</v>
      </c>
      <c r="P9" s="146">
        <f>O9</f>
        <v>29998.9045116102</v>
      </c>
      <c r="Q9" s="177">
        <f>J9</f>
        <v>45317</v>
      </c>
      <c r="R9" s="129" t="n"/>
      <c r="S9" s="129" t="n"/>
      <c r="T9" s="146">
        <f>CF!T30</f>
        <v>32660.7157489658</v>
      </c>
      <c r="U9" s="146">
        <f>CF!U30</f>
        <v>31112.1840368224</v>
      </c>
      <c r="V9" s="146">
        <f>CF!V30</f>
        <v>29746.323240817</v>
      </c>
      <c r="W9" s="146">
        <f>V9</f>
        <v>29746.323240817</v>
      </c>
      <c r="X9" s="129" t="n"/>
      <c r="Y9" s="177">
        <f>K9</f>
        <v>45572</v>
      </c>
      <c r="Z9" s="129" t="n"/>
      <c r="AA9" s="129" t="n"/>
      <c r="AB9" s="146">
        <f>CF!AB30</f>
        <v>31063.8644651261</v>
      </c>
      <c r="AC9" s="146">
        <f>CF!AC30</f>
        <v>29784.5481828373</v>
      </c>
      <c r="AD9" s="146">
        <f>AC9</f>
        <v>29784.5481828373</v>
      </c>
      <c r="AE9" s="129" t="n"/>
      <c r="AF9" s="146">
        <f>CF!AF30</f>
        <v>28642.8299696136</v>
      </c>
      <c r="AG9" s="146">
        <f>CF!AG30</f>
        <v>26306.0228079247</v>
      </c>
      <c r="AH9" s="146">
        <f>CF!AH30</f>
        <v>24736.3525991844</v>
      </c>
      <c r="AI9" s="146">
        <f>CF!AI30</f>
        <v>23355.6307767367</v>
      </c>
      <c r="AJ9" s="146">
        <f>AI9</f>
        <v>23355.6307767367</v>
      </c>
      <c r="AK9" s="129" t="n"/>
    </row>
    <row r="10">
      <c r="A10" s="127" t="inlineStr">
        <is>
          <t>Marketable securities - current ($M)</t>
        </is>
      </c>
      <c r="B10" s="169" t="inlineStr">
        <is>
          <t>n/a</t>
        </is>
      </c>
      <c r="C10" s="169" t="inlineStr">
        <is>
          <t>n/a</t>
        </is>
      </c>
      <c r="D10" s="170" t="inlineStr">
        <is>
          <t>n/a</t>
        </is>
      </c>
      <c r="E10" s="166" t="n">
        <v>35228</v>
      </c>
      <c r="F10" s="170" t="inlineStr">
        <is>
          <t>n/a</t>
        </is>
      </c>
      <c r="G10" s="170" t="inlineStr">
        <is>
          <t>n/a</t>
        </is>
      </c>
      <c r="H10" s="170" t="inlineStr">
        <is>
          <t>n/a</t>
        </is>
      </c>
      <c r="I10" s="166" t="n">
        <v>18763</v>
      </c>
      <c r="J10" s="170" t="inlineStr">
        <is>
          <t>n/a</t>
        </is>
      </c>
      <c r="K10" s="170" t="inlineStr">
        <is>
          <t>n/a</t>
        </is>
      </c>
      <c r="L10" s="146">
        <f>$I$10</f>
        <v>18763</v>
      </c>
      <c r="M10" s="146">
        <f>$I$10</f>
        <v>18763</v>
      </c>
      <c r="N10" s="146">
        <f>$I$10</f>
        <v>18763</v>
      </c>
      <c r="O10" s="146">
        <f>$I$10</f>
        <v>18763</v>
      </c>
      <c r="P10" s="146">
        <f>O10</f>
        <v>18763</v>
      </c>
      <c r="Q10" s="170" t="inlineStr">
        <is>
          <t>n/a</t>
        </is>
      </c>
      <c r="R10" s="129" t="n"/>
      <c r="S10" s="129" t="n"/>
      <c r="T10" s="146">
        <f>$I$10</f>
        <v>18763</v>
      </c>
      <c r="U10" s="146">
        <f>$I$10</f>
        <v>18763</v>
      </c>
      <c r="V10" s="146">
        <f>$I$10</f>
        <v>18763</v>
      </c>
      <c r="W10" s="146">
        <f>V10</f>
        <v>18763</v>
      </c>
      <c r="X10" s="129" t="n"/>
      <c r="Y10" s="170" t="inlineStr">
        <is>
          <t>n/a</t>
        </is>
      </c>
      <c r="Z10" s="129" t="n"/>
      <c r="AA10" s="129" t="n"/>
      <c r="AB10" s="146">
        <f>$I$10</f>
        <v>18763</v>
      </c>
      <c r="AC10" s="146">
        <f>$I$10</f>
        <v>18763</v>
      </c>
      <c r="AD10" s="146">
        <f>AC10</f>
        <v>18763</v>
      </c>
      <c r="AE10" s="129" t="n"/>
      <c r="AF10" s="146">
        <f>$I$10</f>
        <v>18763</v>
      </c>
      <c r="AG10" s="146">
        <f>$I$10</f>
        <v>18763</v>
      </c>
      <c r="AH10" s="146">
        <f>$I$10</f>
        <v>18763</v>
      </c>
      <c r="AI10" s="146">
        <f>$I$10</f>
        <v>18763</v>
      </c>
      <c r="AJ10" s="146">
        <f>AI10</f>
        <v>18763</v>
      </c>
      <c r="AK10" s="129" t="n"/>
    </row>
    <row r="11">
      <c r="A11" s="127" t="inlineStr">
        <is>
          <t>Accounts receivable, net ($M)</t>
        </is>
      </c>
      <c r="B11" s="166" t="n">
        <v>23194</v>
      </c>
      <c r="C11" s="166" t="n">
        <v>21837</v>
      </c>
      <c r="D11" s="166" t="n">
        <v>22795</v>
      </c>
      <c r="E11" s="166" t="n">
        <v>33410</v>
      </c>
      <c r="F11" s="166" t="n">
        <v>29639</v>
      </c>
      <c r="G11" s="166" t="n">
        <v>26136</v>
      </c>
      <c r="H11" s="166" t="n">
        <v>27557</v>
      </c>
      <c r="I11" s="166" t="n">
        <v>39777</v>
      </c>
      <c r="J11" s="166" t="n">
        <v>39921</v>
      </c>
      <c r="K11" s="166" t="n">
        <v>30339</v>
      </c>
      <c r="L11" s="146">
        <f>DSO_Active*(IS!L41/90)</f>
        <v>48801.2176149884</v>
      </c>
      <c r="M11" s="146">
        <f>DSO_Active*(IS!M41/90)</f>
        <v>37236.1743662511</v>
      </c>
      <c r="N11" s="146">
        <f>DSO_Active*(IS!N41/90)</f>
        <v>35952.1688498839</v>
      </c>
      <c r="O11" s="146">
        <f>DSO_Active*(IS!O41/90)</f>
        <v>39477.2885038766</v>
      </c>
      <c r="P11" s="146">
        <f>O11</f>
        <v>39477.2885038766</v>
      </c>
      <c r="Q11" s="177">
        <f>J11</f>
        <v>39921</v>
      </c>
      <c r="R11" s="129" t="n"/>
      <c r="S11" s="129" t="n"/>
      <c r="T11" s="146">
        <f>DSO_Active*(IS!T41/90)</f>
        <v>38137.7090301189</v>
      </c>
      <c r="U11" s="146">
        <f>DSO_Active*(IS!U41/90)</f>
        <v>36822.6161235645</v>
      </c>
      <c r="V11" s="146">
        <f>DSO_Active*(IS!V41/90)</f>
        <v>40433.0833627064</v>
      </c>
      <c r="W11" s="146">
        <f>V11</f>
        <v>40433.0833627064</v>
      </c>
      <c r="X11" s="129" t="n"/>
      <c r="Y11" s="177">
        <f>K11</f>
        <v>30339</v>
      </c>
      <c r="Z11" s="129" t="n"/>
      <c r="AA11" s="129" t="n"/>
      <c r="AB11" s="146">
        <f>DSO_Active*(IS!AB41/90)</f>
        <v>37408.1573103333</v>
      </c>
      <c r="AC11" s="146">
        <f>DSO_Active*(IS!AC41/90)</f>
        <v>41076.037017533</v>
      </c>
      <c r="AD11" s="146">
        <f>AC11</f>
        <v>41076.037017533</v>
      </c>
      <c r="AE11" s="129" t="n"/>
      <c r="AF11" s="146">
        <f>DSO_Active*(IS!AF41/90)</f>
        <v>52375.3243485071</v>
      </c>
      <c r="AG11" s="146">
        <f>DSO_Active*(IS!AG41/90)</f>
        <v>39963.2797139673</v>
      </c>
      <c r="AH11" s="146">
        <f>DSO_Active*(IS!AH41/90)</f>
        <v>38585.2361185069</v>
      </c>
      <c r="AI11" s="146">
        <f>DSO_Active*(IS!AI41/90)</f>
        <v>42368.5287138223</v>
      </c>
      <c r="AJ11" s="146">
        <f>AI11</f>
        <v>42368.5287138223</v>
      </c>
      <c r="AK11" s="129" t="n"/>
    </row>
    <row r="12">
      <c r="A12" s="127" t="inlineStr">
        <is>
          <t>Vendor non-trade receivables ($M)</t>
        </is>
      </c>
      <c r="B12" s="169" t="inlineStr">
        <is>
          <t>n/a</t>
        </is>
      </c>
      <c r="C12" s="169" t="inlineStr">
        <is>
          <t>n/a</t>
        </is>
      </c>
      <c r="D12" s="170" t="inlineStr">
        <is>
          <t>n/a</t>
        </is>
      </c>
      <c r="E12" s="166" t="n">
        <v>32833</v>
      </c>
      <c r="F12" s="170" t="inlineStr">
        <is>
          <t>n/a</t>
        </is>
      </c>
      <c r="G12" s="170" t="inlineStr">
        <is>
          <t>n/a</t>
        </is>
      </c>
      <c r="H12" s="170" t="inlineStr">
        <is>
          <t>n/a</t>
        </is>
      </c>
      <c r="I12" s="166" t="n">
        <v>33180</v>
      </c>
      <c r="J12" s="170" t="inlineStr">
        <is>
          <t>n/a</t>
        </is>
      </c>
      <c r="K12" s="170" t="inlineStr">
        <is>
          <t>n/a</t>
        </is>
      </c>
      <c r="L12" s="146">
        <f>$I$12</f>
        <v>33180</v>
      </c>
      <c r="M12" s="146">
        <f>$I$12</f>
        <v>33180</v>
      </c>
      <c r="N12" s="146">
        <f>$I$12</f>
        <v>33180</v>
      </c>
      <c r="O12" s="146">
        <f>$I$12</f>
        <v>33180</v>
      </c>
      <c r="P12" s="146">
        <f>O12</f>
        <v>33180</v>
      </c>
      <c r="Q12" s="170" t="inlineStr">
        <is>
          <t>n/a</t>
        </is>
      </c>
      <c r="R12" s="129" t="n"/>
      <c r="S12" s="129" t="n"/>
      <c r="T12" s="146">
        <f>$I$12</f>
        <v>33180</v>
      </c>
      <c r="U12" s="146">
        <f>$I$12</f>
        <v>33180</v>
      </c>
      <c r="V12" s="146">
        <f>$I$12</f>
        <v>33180</v>
      </c>
      <c r="W12" s="146">
        <f>V12</f>
        <v>33180</v>
      </c>
      <c r="X12" s="129" t="n"/>
      <c r="Y12" s="170" t="inlineStr">
        <is>
          <t>n/a</t>
        </is>
      </c>
      <c r="Z12" s="129" t="n"/>
      <c r="AA12" s="129" t="n"/>
      <c r="AB12" s="146">
        <f>$I$12</f>
        <v>33180</v>
      </c>
      <c r="AC12" s="146">
        <f>$I$12</f>
        <v>33180</v>
      </c>
      <c r="AD12" s="146">
        <f>AC12</f>
        <v>33180</v>
      </c>
      <c r="AE12" s="129" t="n"/>
      <c r="AF12" s="146">
        <f>$I$12</f>
        <v>33180</v>
      </c>
      <c r="AG12" s="146">
        <f>$I$12</f>
        <v>33180</v>
      </c>
      <c r="AH12" s="146">
        <f>$I$12</f>
        <v>33180</v>
      </c>
      <c r="AI12" s="146">
        <f>$I$12</f>
        <v>33180</v>
      </c>
      <c r="AJ12" s="146">
        <f>AI12</f>
        <v>33180</v>
      </c>
      <c r="AK12" s="129" t="n"/>
    </row>
    <row r="13">
      <c r="A13" s="127" t="inlineStr">
        <is>
          <t>Inventories ($M)</t>
        </is>
      </c>
      <c r="B13" s="166" t="n">
        <v>6511</v>
      </c>
      <c r="C13" s="166" t="n">
        <v>6232</v>
      </c>
      <c r="D13" s="166" t="n">
        <v>6165</v>
      </c>
      <c r="E13" s="166" t="n">
        <v>7286</v>
      </c>
      <c r="F13" s="166" t="n">
        <v>6911</v>
      </c>
      <c r="G13" s="166" t="n">
        <v>6269</v>
      </c>
      <c r="H13" s="166" t="n">
        <v>5925</v>
      </c>
      <c r="I13" s="166" t="n">
        <v>5718</v>
      </c>
      <c r="J13" s="166" t="n">
        <v>5875</v>
      </c>
      <c r="K13" s="166" t="n">
        <v>6747</v>
      </c>
      <c r="L13" s="146">
        <f>DIO_Active*(IS!L43/90)</f>
        <v>7723.58484974156</v>
      </c>
      <c r="M13" s="146">
        <f>DIO_Active*(IS!M43/90)</f>
        <v>5893.22902691638</v>
      </c>
      <c r="N13" s="146">
        <f>DIO_Active*(IS!N43/90)</f>
        <v>5690.01431142632</v>
      </c>
      <c r="O13" s="146">
        <f>DIO_Active*(IS!O43/90)</f>
        <v>6247.92171791574</v>
      </c>
      <c r="P13" s="146">
        <f>O13</f>
        <v>6247.92171791574</v>
      </c>
      <c r="Q13" s="177">
        <f>J13</f>
        <v>5875</v>
      </c>
      <c r="R13" s="129" t="n"/>
      <c r="S13" s="129" t="n"/>
      <c r="T13" s="146">
        <f>DIO_Active*(IS!T43/90)</f>
        <v>6035.91152156847</v>
      </c>
      <c r="U13" s="146">
        <f>DIO_Active*(IS!U43/90)</f>
        <v>5827.77672195751</v>
      </c>
      <c r="V13" s="146">
        <f>DIO_Active*(IS!V43/90)</f>
        <v>6399.19176919519</v>
      </c>
      <c r="W13" s="146">
        <f>V13</f>
        <v>6399.19176919519</v>
      </c>
      <c r="X13" s="129" t="n"/>
      <c r="Y13" s="177">
        <f>K13</f>
        <v>6747</v>
      </c>
      <c r="Z13" s="129" t="n"/>
      <c r="AA13" s="129" t="n"/>
      <c r="AB13" s="146">
        <f>DIO_Active*(IS!AB43/90)</f>
        <v>5750.58842337989</v>
      </c>
      <c r="AC13" s="146">
        <f>DIO_Active*(IS!AC43/90)</f>
        <v>6314.43513754953</v>
      </c>
      <c r="AD13" s="146">
        <f>AC13</f>
        <v>6314.43513754953</v>
      </c>
      <c r="AE13" s="129" t="n"/>
      <c r="AF13" s="146">
        <f>DIO_Active*(IS!AF43/90)</f>
        <v>8217.08628994083</v>
      </c>
      <c r="AG13" s="146">
        <f>DIO_Active*(IS!AG43/90)</f>
        <v>6269.77917413263</v>
      </c>
      <c r="AH13" s="146">
        <f>DIO_Active*(IS!AH43/90)</f>
        <v>6053.57997582596</v>
      </c>
      <c r="AI13" s="146">
        <f>DIO_Active*(IS!AI43/90)</f>
        <v>6647.13509176077</v>
      </c>
      <c r="AJ13" s="146">
        <f>AI13</f>
        <v>6647.13509176077</v>
      </c>
      <c r="AK13" s="129" t="n"/>
    </row>
    <row r="14">
      <c r="A14" s="127" t="inlineStr">
        <is>
          <t>Other current assets ($M)</t>
        </is>
      </c>
      <c r="B14" s="169" t="inlineStr">
        <is>
          <t>n/a</t>
        </is>
      </c>
      <c r="C14" s="169" t="inlineStr">
        <is>
          <t>n/a</t>
        </is>
      </c>
      <c r="D14" s="170" t="inlineStr">
        <is>
          <t>n/a</t>
        </is>
      </c>
      <c r="E14" s="166" t="n">
        <v>14287</v>
      </c>
      <c r="F14" s="170" t="inlineStr">
        <is>
          <t>n/a</t>
        </is>
      </c>
      <c r="G14" s="170" t="inlineStr">
        <is>
          <t>n/a</t>
        </is>
      </c>
      <c r="H14" s="170" t="inlineStr">
        <is>
          <t>n/a</t>
        </is>
      </c>
      <c r="I14" s="166" t="n">
        <v>14585</v>
      </c>
      <c r="J14" s="170" t="inlineStr">
        <is>
          <t>n/a</t>
        </is>
      </c>
      <c r="K14" s="170" t="inlineStr">
        <is>
          <t>n/a</t>
        </is>
      </c>
      <c r="L14" s="146">
        <f>$I$14</f>
        <v>14585</v>
      </c>
      <c r="M14" s="146">
        <f>$I$14</f>
        <v>14585</v>
      </c>
      <c r="N14" s="146">
        <f>$I$14</f>
        <v>14585</v>
      </c>
      <c r="O14" s="146">
        <f>$I$14</f>
        <v>14585</v>
      </c>
      <c r="P14" s="146">
        <f>O14</f>
        <v>14585</v>
      </c>
      <c r="Q14" s="170" t="inlineStr">
        <is>
          <t>n/a</t>
        </is>
      </c>
      <c r="R14" s="129" t="n"/>
      <c r="S14" s="129" t="n"/>
      <c r="T14" s="146">
        <f>$I$14</f>
        <v>14585</v>
      </c>
      <c r="U14" s="146">
        <f>$I$14</f>
        <v>14585</v>
      </c>
      <c r="V14" s="146">
        <f>$I$14</f>
        <v>14585</v>
      </c>
      <c r="W14" s="146">
        <f>V14</f>
        <v>14585</v>
      </c>
      <c r="X14" s="129" t="n"/>
      <c r="Y14" s="170" t="inlineStr">
        <is>
          <t>n/a</t>
        </is>
      </c>
      <c r="Z14" s="129" t="n"/>
      <c r="AA14" s="129" t="n"/>
      <c r="AB14" s="146">
        <f>$I$14</f>
        <v>14585</v>
      </c>
      <c r="AC14" s="146">
        <f>$I$14</f>
        <v>14585</v>
      </c>
      <c r="AD14" s="146">
        <f>AC14</f>
        <v>14585</v>
      </c>
      <c r="AE14" s="129" t="n"/>
      <c r="AF14" s="146">
        <f>$I$14</f>
        <v>14585</v>
      </c>
      <c r="AG14" s="146">
        <f>$I$14</f>
        <v>14585</v>
      </c>
      <c r="AH14" s="146">
        <f>$I$14</f>
        <v>14585</v>
      </c>
      <c r="AI14" s="146">
        <f>$I$14</f>
        <v>14585</v>
      </c>
      <c r="AJ14" s="146">
        <f>AI14</f>
        <v>14585</v>
      </c>
      <c r="AK14" s="129" t="n"/>
    </row>
    <row r="15">
      <c r="A15" s="164" t="inlineStr">
        <is>
          <t>Total current assets ($M)</t>
        </is>
      </c>
      <c r="B15" s="169" t="inlineStr">
        <is>
          <t>n/a</t>
        </is>
      </c>
      <c r="C15" s="169" t="inlineStr">
        <is>
          <t>n/a</t>
        </is>
      </c>
      <c r="D15" s="170" t="inlineStr">
        <is>
          <t>n/a</t>
        </is>
      </c>
      <c r="E15" s="171">
        <f>SUM(E9:E14)</f>
        <v>152987</v>
      </c>
      <c r="F15" s="170" t="inlineStr">
        <is>
          <t>n/a</t>
        </is>
      </c>
      <c r="G15" s="170" t="inlineStr">
        <is>
          <t>n/a</t>
        </is>
      </c>
      <c r="H15" s="170" t="inlineStr">
        <is>
          <t>n/a</t>
        </is>
      </c>
      <c r="I15" s="171">
        <f>SUM(I9:I14)</f>
        <v>147957</v>
      </c>
      <c r="J15" s="170" t="inlineStr">
        <is>
          <t>n/a</t>
        </is>
      </c>
      <c r="K15" s="170" t="inlineStr">
        <is>
          <t>n/a</t>
        </is>
      </c>
      <c r="L15" s="171">
        <f>SUM(L9:L14)</f>
        <v>157932.920201504</v>
      </c>
      <c r="M15" s="171">
        <f>SUM(M9:M14)</f>
        <v>142362.840081829</v>
      </c>
      <c r="N15" s="171">
        <f>SUM(N9:N14)</f>
        <v>139429.930129749</v>
      </c>
      <c r="O15" s="171">
        <f>SUM(O9:O14)</f>
        <v>142252.114733403</v>
      </c>
      <c r="P15" s="171">
        <f>O15</f>
        <v>142252.114733403</v>
      </c>
      <c r="Q15" s="170" t="inlineStr">
        <is>
          <t>n/a</t>
        </is>
      </c>
      <c r="R15" s="129" t="n"/>
      <c r="S15" s="129" t="n"/>
      <c r="T15" s="171">
        <f>SUM(T9:T14)</f>
        <v>143362.336300653</v>
      </c>
      <c r="U15" s="171">
        <f>SUM(U9:U14)</f>
        <v>140290.576882344</v>
      </c>
      <c r="V15" s="171">
        <f>SUM(V9:V14)</f>
        <v>143106.598372719</v>
      </c>
      <c r="W15" s="171">
        <f>V15</f>
        <v>143106.598372719</v>
      </c>
      <c r="X15" s="129" t="n"/>
      <c r="Y15" s="170" t="inlineStr">
        <is>
          <t>n/a</t>
        </is>
      </c>
      <c r="Z15" s="129" t="n"/>
      <c r="AA15" s="129" t="n"/>
      <c r="AB15" s="171">
        <f>SUM(AB9:AB14)</f>
        <v>140750.610198839</v>
      </c>
      <c r="AC15" s="171">
        <f>SUM(AC9:AC14)</f>
        <v>143703.02033792</v>
      </c>
      <c r="AD15" s="171">
        <f>AC15</f>
        <v>143703.02033792</v>
      </c>
      <c r="AE15" s="129" t="n"/>
      <c r="AF15" s="171">
        <f>SUM(AF9:AF14)</f>
        <v>155763.240608061</v>
      </c>
      <c r="AG15" s="171">
        <f>SUM(AG9:AG14)</f>
        <v>139067.081696025</v>
      </c>
      <c r="AH15" s="171">
        <f>SUM(AH9:AH14)</f>
        <v>135903.168693517</v>
      </c>
      <c r="AI15" s="171">
        <f>SUM(AI9:AI14)</f>
        <v>138899.29458232</v>
      </c>
      <c r="AJ15" s="171">
        <f>AI15</f>
        <v>138899.29458232</v>
      </c>
      <c r="AK15" s="129" t="n"/>
    </row>
    <row r="16">
      <c r="A16" s="127" t="inlineStr">
        <is>
          <t>Marketable securities - non-current ($M)</t>
        </is>
      </c>
      <c r="B16" s="169" t="inlineStr">
        <is>
          <t>n/a</t>
        </is>
      </c>
      <c r="C16" s="169" t="inlineStr">
        <is>
          <t>n/a</t>
        </is>
      </c>
      <c r="D16" s="170" t="inlineStr">
        <is>
          <t>n/a</t>
        </is>
      </c>
      <c r="E16" s="166" t="n">
        <v>91479</v>
      </c>
      <c r="F16" s="170" t="inlineStr">
        <is>
          <t>n/a</t>
        </is>
      </c>
      <c r="G16" s="170" t="inlineStr">
        <is>
          <t>n/a</t>
        </is>
      </c>
      <c r="H16" s="170" t="inlineStr">
        <is>
          <t>n/a</t>
        </is>
      </c>
      <c r="I16" s="166" t="n">
        <v>77723</v>
      </c>
      <c r="J16" s="170" t="inlineStr">
        <is>
          <t>n/a</t>
        </is>
      </c>
      <c r="K16" s="170" t="inlineStr">
        <is>
          <t>n/a</t>
        </is>
      </c>
      <c r="L16" s="146">
        <f>$I$16</f>
        <v>77723</v>
      </c>
      <c r="M16" s="146">
        <f>$I$16</f>
        <v>77723</v>
      </c>
      <c r="N16" s="146">
        <f>$I$16</f>
        <v>77723</v>
      </c>
      <c r="O16" s="146">
        <f>$I$16</f>
        <v>77723</v>
      </c>
      <c r="P16" s="146">
        <f>O16</f>
        <v>77723</v>
      </c>
      <c r="Q16" s="170" t="inlineStr">
        <is>
          <t>n/a</t>
        </is>
      </c>
      <c r="R16" s="129" t="n"/>
      <c r="S16" s="129" t="n"/>
      <c r="T16" s="146">
        <f>$I$16</f>
        <v>77723</v>
      </c>
      <c r="U16" s="146">
        <f>$I$16</f>
        <v>77723</v>
      </c>
      <c r="V16" s="146">
        <f>$I$16</f>
        <v>77723</v>
      </c>
      <c r="W16" s="146">
        <f>V16</f>
        <v>77723</v>
      </c>
      <c r="X16" s="129" t="n"/>
      <c r="Y16" s="170" t="inlineStr">
        <is>
          <t>n/a</t>
        </is>
      </c>
      <c r="Z16" s="129" t="n"/>
      <c r="AA16" s="129" t="n"/>
      <c r="AB16" s="146">
        <f>$I$16</f>
        <v>77723</v>
      </c>
      <c r="AC16" s="146">
        <f>$I$16</f>
        <v>77723</v>
      </c>
      <c r="AD16" s="146">
        <f>AC16</f>
        <v>77723</v>
      </c>
      <c r="AE16" s="129" t="n"/>
      <c r="AF16" s="146">
        <f>$I$16</f>
        <v>77723</v>
      </c>
      <c r="AG16" s="146">
        <f>$I$16</f>
        <v>77723</v>
      </c>
      <c r="AH16" s="146">
        <f>$I$16</f>
        <v>77723</v>
      </c>
      <c r="AI16" s="146">
        <f>$I$16</f>
        <v>77723</v>
      </c>
      <c r="AJ16" s="146">
        <f>AI16</f>
        <v>77723</v>
      </c>
      <c r="AK16" s="129" t="n"/>
    </row>
    <row r="17">
      <c r="A17" s="127" t="inlineStr">
        <is>
          <t>Property, plant and equipment, net ($M)</t>
        </is>
      </c>
      <c r="B17" s="169" t="inlineStr">
        <is>
          <t>n/a</t>
        </is>
      </c>
      <c r="C17" s="169" t="inlineStr">
        <is>
          <t>n/a</t>
        </is>
      </c>
      <c r="D17" s="170" t="inlineStr">
        <is>
          <t>n/a</t>
        </is>
      </c>
      <c r="E17" s="166" t="n">
        <v>45680</v>
      </c>
      <c r="F17" s="170" t="inlineStr">
        <is>
          <t>n/a</t>
        </is>
      </c>
      <c r="G17" s="170" t="inlineStr">
        <is>
          <t>n/a</t>
        </is>
      </c>
      <c r="H17" s="170" t="inlineStr">
        <is>
          <t>n/a</t>
        </is>
      </c>
      <c r="I17" s="166" t="n">
        <v>49834</v>
      </c>
      <c r="J17" s="170" t="inlineStr">
        <is>
          <t>n/a</t>
        </is>
      </c>
      <c r="K17" s="170" t="inlineStr">
        <is>
          <t>n/a</t>
        </is>
      </c>
      <c r="L17" s="146">
        <f>I17-CF!L22-CF!L16</f>
        <v>49928.8570353548</v>
      </c>
      <c r="M17" s="146">
        <f>L17-CF!M22-CF!M16</f>
        <v>50001.2345964272</v>
      </c>
      <c r="N17" s="146">
        <f>M17-CF!N22-CF!N16</f>
        <v>50071.1163804963</v>
      </c>
      <c r="O17" s="146">
        <f>N17-CF!O22-CF!O16</f>
        <v>50147.8500919554</v>
      </c>
      <c r="P17" s="146">
        <f>O17</f>
        <v>50147.8500919554</v>
      </c>
      <c r="Q17" s="170" t="inlineStr">
        <is>
          <t>n/a</t>
        </is>
      </c>
      <c r="R17" s="129" t="n"/>
      <c r="S17" s="129" t="n"/>
      <c r="T17" s="146">
        <f>L17-CF!T22-CF!T16</f>
        <v>50002.9869483083</v>
      </c>
      <c r="U17" s="146">
        <f>T17-CF!U22-CF!U16</f>
        <v>50074.5606583547</v>
      </c>
      <c r="V17" s="146">
        <f>U17-CF!V22-CF!V16</f>
        <v>50153.1521895804</v>
      </c>
      <c r="W17" s="146">
        <f>V17</f>
        <v>50153.1521895804</v>
      </c>
      <c r="X17" s="129" t="n"/>
      <c r="Y17" s="170" t="inlineStr">
        <is>
          <t>n/a</t>
        </is>
      </c>
      <c r="Z17" s="129" t="n"/>
      <c r="AA17" s="129" t="n"/>
      <c r="AB17" s="146">
        <f>T17-CF!AB22-CF!AB16</f>
        <v>50075.6988000604</v>
      </c>
      <c r="AC17" s="146">
        <f>AB17-CF!AC22-CF!AC16</f>
        <v>50155.5400680867</v>
      </c>
      <c r="AD17" s="146">
        <f>AC17</f>
        <v>50155.5400680867</v>
      </c>
      <c r="AE17" s="129" t="n"/>
      <c r="AF17" s="146">
        <f>AC17-CF!AF22-CF!AF16</f>
        <v>50257.3442491349</v>
      </c>
      <c r="AG17" s="146">
        <f>AF17-CF!AG22-CF!AG16</f>
        <v>50335.0226027085</v>
      </c>
      <c r="AH17" s="146">
        <f>AG17-CF!AH22-CF!AH16</f>
        <v>50410.0223934011</v>
      </c>
      <c r="AI17" s="146">
        <f>AH17-CF!AI22-CF!AI16</f>
        <v>50492.3759333854</v>
      </c>
      <c r="AJ17" s="146">
        <f>AI17</f>
        <v>50492.3759333854</v>
      </c>
      <c r="AK17" s="129" t="n"/>
    </row>
    <row r="18">
      <c r="A18" s="127" t="inlineStr">
        <is>
          <t>Other non-current assets ($M)</t>
        </is>
      </c>
      <c r="B18" s="169" t="inlineStr">
        <is>
          <t>n/a</t>
        </is>
      </c>
      <c r="C18" s="169" t="inlineStr">
        <is>
          <t>n/a</t>
        </is>
      </c>
      <c r="D18" s="170" t="inlineStr">
        <is>
          <t>n/a</t>
        </is>
      </c>
      <c r="E18" s="166" t="n">
        <v>74834</v>
      </c>
      <c r="F18" s="170" t="inlineStr">
        <is>
          <t>n/a</t>
        </is>
      </c>
      <c r="G18" s="170" t="inlineStr">
        <is>
          <t>n/a</t>
        </is>
      </c>
      <c r="H18" s="170" t="inlineStr">
        <is>
          <t>n/a</t>
        </is>
      </c>
      <c r="I18" s="166" t="n">
        <v>83727</v>
      </c>
      <c r="J18" s="170" t="inlineStr">
        <is>
          <t>n/a</t>
        </is>
      </c>
      <c r="K18" s="170" t="inlineStr">
        <is>
          <t>n/a</t>
        </is>
      </c>
      <c r="L18" s="146">
        <f>$I$18</f>
        <v>83727</v>
      </c>
      <c r="M18" s="146">
        <f>$I$18</f>
        <v>83727</v>
      </c>
      <c r="N18" s="146">
        <f>$I$18</f>
        <v>83727</v>
      </c>
      <c r="O18" s="146">
        <f>$I$18</f>
        <v>83727</v>
      </c>
      <c r="P18" s="146">
        <f>O18</f>
        <v>83727</v>
      </c>
      <c r="Q18" s="170" t="inlineStr">
        <is>
          <t>n/a</t>
        </is>
      </c>
      <c r="R18" s="129" t="n"/>
      <c r="S18" s="129" t="n"/>
      <c r="T18" s="146">
        <f>$I$18</f>
        <v>83727</v>
      </c>
      <c r="U18" s="146">
        <f>$I$18</f>
        <v>83727</v>
      </c>
      <c r="V18" s="146">
        <f>$I$18</f>
        <v>83727</v>
      </c>
      <c r="W18" s="146">
        <f>V18</f>
        <v>83727</v>
      </c>
      <c r="X18" s="129" t="n"/>
      <c r="Y18" s="170" t="inlineStr">
        <is>
          <t>n/a</t>
        </is>
      </c>
      <c r="Z18" s="129" t="n"/>
      <c r="AA18" s="129" t="n"/>
      <c r="AB18" s="146">
        <f>$I$18</f>
        <v>83727</v>
      </c>
      <c r="AC18" s="146">
        <f>$I$18</f>
        <v>83727</v>
      </c>
      <c r="AD18" s="146">
        <f>AC18</f>
        <v>83727</v>
      </c>
      <c r="AE18" s="129" t="n"/>
      <c r="AF18" s="146">
        <f>$I$18</f>
        <v>83727</v>
      </c>
      <c r="AG18" s="146">
        <f>$I$18</f>
        <v>83727</v>
      </c>
      <c r="AH18" s="146">
        <f>$I$18</f>
        <v>83727</v>
      </c>
      <c r="AI18" s="146">
        <f>$I$18</f>
        <v>83727</v>
      </c>
      <c r="AJ18" s="146">
        <f>AI18</f>
        <v>83727</v>
      </c>
      <c r="AK18" s="129" t="n"/>
    </row>
    <row r="19">
      <c r="A19" s="164" t="inlineStr">
        <is>
          <t>Total non-current assets ($M)</t>
        </is>
      </c>
      <c r="B19" s="169" t="inlineStr">
        <is>
          <t>n/a</t>
        </is>
      </c>
      <c r="C19" s="169" t="inlineStr">
        <is>
          <t>n/a</t>
        </is>
      </c>
      <c r="D19" s="170" t="inlineStr">
        <is>
          <t>n/a</t>
        </is>
      </c>
      <c r="E19" s="171">
        <f>SUM(E16:E18)</f>
        <v>211993</v>
      </c>
      <c r="F19" s="170" t="inlineStr">
        <is>
          <t>n/a</t>
        </is>
      </c>
      <c r="G19" s="170" t="inlineStr">
        <is>
          <t>n/a</t>
        </is>
      </c>
      <c r="H19" s="170" t="inlineStr">
        <is>
          <t>n/a</t>
        </is>
      </c>
      <c r="I19" s="171">
        <f>SUM(I16:I18)</f>
        <v>211284</v>
      </c>
      <c r="J19" s="170" t="inlineStr">
        <is>
          <t>n/a</t>
        </is>
      </c>
      <c r="K19" s="170" t="inlineStr">
        <is>
          <t>n/a</t>
        </is>
      </c>
      <c r="L19" s="171">
        <f>SUM(L16:L18)</f>
        <v>211378.857035355</v>
      </c>
      <c r="M19" s="171">
        <f>SUM(M16:M18)</f>
        <v>211451.234596427</v>
      </c>
      <c r="N19" s="171">
        <f>SUM(N16:N18)</f>
        <v>211521.116380496</v>
      </c>
      <c r="O19" s="171">
        <f>SUM(O16:O18)</f>
        <v>211597.850091955</v>
      </c>
      <c r="P19" s="171">
        <f>O19</f>
        <v>211597.850091955</v>
      </c>
      <c r="Q19" s="170" t="inlineStr">
        <is>
          <t>n/a</t>
        </is>
      </c>
      <c r="R19" s="129" t="n"/>
      <c r="S19" s="129" t="n"/>
      <c r="T19" s="171">
        <f>SUM(T16:T18)</f>
        <v>211452.986948308</v>
      </c>
      <c r="U19" s="171">
        <f>SUM(U16:U18)</f>
        <v>211524.560658355</v>
      </c>
      <c r="V19" s="171">
        <f>SUM(V16:V18)</f>
        <v>211603.15218958</v>
      </c>
      <c r="W19" s="171">
        <f>V19</f>
        <v>211603.15218958</v>
      </c>
      <c r="X19" s="129" t="n"/>
      <c r="Y19" s="170" t="inlineStr">
        <is>
          <t>n/a</t>
        </is>
      </c>
      <c r="Z19" s="129" t="n"/>
      <c r="AA19" s="129" t="n"/>
      <c r="AB19" s="171">
        <f>SUM(AB16:AB18)</f>
        <v>211525.69880006</v>
      </c>
      <c r="AC19" s="171">
        <f>SUM(AC16:AC18)</f>
        <v>211605.540068087</v>
      </c>
      <c r="AD19" s="171">
        <f>AC19</f>
        <v>211605.540068087</v>
      </c>
      <c r="AE19" s="129" t="n"/>
      <c r="AF19" s="171">
        <f>SUM(AF16:AF18)</f>
        <v>211707.344249135</v>
      </c>
      <c r="AG19" s="171">
        <f>SUM(AG16:AG18)</f>
        <v>211785.022602709</v>
      </c>
      <c r="AH19" s="171">
        <f>SUM(AH16:AH18)</f>
        <v>211860.022393401</v>
      </c>
      <c r="AI19" s="171">
        <f>SUM(AI16:AI18)</f>
        <v>211942.375933385</v>
      </c>
      <c r="AJ19" s="171">
        <f>AI19</f>
        <v>211942.375933385</v>
      </c>
      <c r="AK19" s="129" t="n"/>
    </row>
    <row r="20">
      <c r="A20" s="164" t="inlineStr">
        <is>
          <t>TOTAL ASSETS ($M)</t>
        </is>
      </c>
      <c r="B20" s="169" t="inlineStr">
        <is>
          <t>n/a</t>
        </is>
      </c>
      <c r="C20" s="169" t="inlineStr">
        <is>
          <t>n/a</t>
        </is>
      </c>
      <c r="D20" s="170" t="inlineStr">
        <is>
          <t>n/a</t>
        </is>
      </c>
      <c r="E20" s="171">
        <f>E15+E19</f>
        <v>364980</v>
      </c>
      <c r="F20" s="170" t="inlineStr">
        <is>
          <t>n/a</t>
        </is>
      </c>
      <c r="G20" s="170" t="inlineStr">
        <is>
          <t>n/a</t>
        </is>
      </c>
      <c r="H20" s="170" t="inlineStr">
        <is>
          <t>n/a</t>
        </is>
      </c>
      <c r="I20" s="171">
        <f>I15+I19</f>
        <v>359241</v>
      </c>
      <c r="J20" s="170" t="inlineStr">
        <is>
          <t>n/a</t>
        </is>
      </c>
      <c r="K20" s="170" t="inlineStr">
        <is>
          <t>n/a</t>
        </is>
      </c>
      <c r="L20" s="171">
        <f>L15+L19</f>
        <v>369311.777236859</v>
      </c>
      <c r="M20" s="171">
        <f>M15+M19</f>
        <v>353814.074678256</v>
      </c>
      <c r="N20" s="171">
        <f>N15+N19</f>
        <v>350951.046510246</v>
      </c>
      <c r="O20" s="171">
        <f>O15+O19</f>
        <v>353849.964825358</v>
      </c>
      <c r="P20" s="171">
        <f>O20</f>
        <v>353849.964825358</v>
      </c>
      <c r="Q20" s="170" t="inlineStr">
        <is>
          <t>n/a</t>
        </is>
      </c>
      <c r="R20" s="129" t="n"/>
      <c r="S20" s="129" t="n"/>
      <c r="T20" s="171">
        <f>T15+T19</f>
        <v>354815.323248961</v>
      </c>
      <c r="U20" s="171">
        <f>U15+U19</f>
        <v>351815.137540699</v>
      </c>
      <c r="V20" s="171">
        <f>V15+V19</f>
        <v>354709.750562299</v>
      </c>
      <c r="W20" s="171">
        <f>V20</f>
        <v>354709.750562299</v>
      </c>
      <c r="X20" s="129" t="n"/>
      <c r="Y20" s="170" t="inlineStr">
        <is>
          <t>n/a</t>
        </is>
      </c>
      <c r="Z20" s="129" t="n"/>
      <c r="AA20" s="129" t="n"/>
      <c r="AB20" s="171">
        <f>AB15+AB19</f>
        <v>352276.3089989</v>
      </c>
      <c r="AC20" s="171">
        <f>AC15+AC19</f>
        <v>355308.560406007</v>
      </c>
      <c r="AD20" s="171">
        <f>AC20</f>
        <v>355308.560406007</v>
      </c>
      <c r="AE20" s="129" t="n"/>
      <c r="AF20" s="171">
        <f>AF15+AF19</f>
        <v>367470.584857196</v>
      </c>
      <c r="AG20" s="171">
        <f>AG15+AG19</f>
        <v>350852.104298733</v>
      </c>
      <c r="AH20" s="171">
        <f>AH15+AH19</f>
        <v>347763.191086918</v>
      </c>
      <c r="AI20" s="171">
        <f>AI15+AI19</f>
        <v>350841.670515705</v>
      </c>
      <c r="AJ20" s="171">
        <f>AI20</f>
        <v>350841.670515705</v>
      </c>
      <c r="AK20" s="129" t="n"/>
    </row>
    <row r="21">
      <c r="A21" s="129" t="n"/>
      <c r="B21" s="129" t="n"/>
      <c r="C21" s="129" t="n"/>
      <c r="D21" s="129" t="n"/>
      <c r="E21" s="129" t="n"/>
      <c r="F21" s="129" t="n"/>
      <c r="G21" s="129" t="n"/>
      <c r="H21" s="129" t="n"/>
      <c r="I21" s="129" t="n"/>
      <c r="J21" s="129" t="n"/>
      <c r="K21" s="129" t="n"/>
      <c r="L21" s="129" t="n"/>
      <c r="M21" s="129" t="n"/>
      <c r="N21" s="129" t="n"/>
      <c r="O21" s="129" t="n"/>
      <c r="P21" s="129" t="n"/>
      <c r="Q21" s="129" t="n"/>
      <c r="R21" s="129" t="n"/>
      <c r="S21" s="129" t="n"/>
      <c r="T21" s="129" t="n"/>
      <c r="U21" s="129" t="n"/>
      <c r="V21" s="129" t="n"/>
      <c r="W21" s="129" t="n"/>
      <c r="X21" s="129" t="n"/>
      <c r="Y21" s="129" t="n"/>
      <c r="Z21" s="129" t="n"/>
      <c r="AA21" s="129" t="n"/>
      <c r="AB21" s="129" t="n"/>
      <c r="AC21" s="129" t="n"/>
      <c r="AD21" s="129" t="n"/>
      <c r="AE21" s="129" t="n"/>
      <c r="AF21" s="129" t="n"/>
      <c r="AG21" s="129" t="n"/>
      <c r="AH21" s="129" t="n"/>
      <c r="AI21" s="129" t="n"/>
      <c r="AJ21" s="129" t="n"/>
      <c r="AK21" s="129" t="n"/>
    </row>
    <row r="22">
      <c r="A22" s="127" t="inlineStr">
        <is>
          <t>Accounts payable ($M)</t>
        </is>
      </c>
      <c r="B22" s="166" t="n">
        <v>58146</v>
      </c>
      <c r="C22" s="166" t="n">
        <v>45753</v>
      </c>
      <c r="D22" s="166" t="n">
        <v>47574</v>
      </c>
      <c r="E22" s="166" t="n">
        <v>68960</v>
      </c>
      <c r="F22" s="166" t="n">
        <v>61910</v>
      </c>
      <c r="G22" s="166" t="n">
        <v>54126</v>
      </c>
      <c r="H22" s="166" t="n">
        <v>50374</v>
      </c>
      <c r="I22" s="166" t="n">
        <v>69860</v>
      </c>
      <c r="J22" s="166" t="n">
        <v>70587</v>
      </c>
      <c r="K22" s="166" t="n">
        <v>57349</v>
      </c>
      <c r="L22" s="146">
        <f>DPO_Active*(IS!L43/90)</f>
        <v>88821.2257720279</v>
      </c>
      <c r="M22" s="146">
        <f>DPO_Active*(IS!M43/90)</f>
        <v>67772.1338095384</v>
      </c>
      <c r="N22" s="146">
        <f>DPO_Active*(IS!N43/90)</f>
        <v>65435.1645814026</v>
      </c>
      <c r="O22" s="146">
        <f>DPO_Active*(IS!O43/90)</f>
        <v>71851.099756031</v>
      </c>
      <c r="P22" s="146">
        <f>O22</f>
        <v>71851.099756031</v>
      </c>
      <c r="Q22" s="177">
        <f>J22</f>
        <v>70587</v>
      </c>
      <c r="R22" s="129" t="n"/>
      <c r="S22" s="129" t="n"/>
      <c r="T22" s="146">
        <f>DPO_Active*(IS!T43/90)</f>
        <v>69412.9824980374</v>
      </c>
      <c r="U22" s="146">
        <f>DPO_Active*(IS!U43/90)</f>
        <v>67019.4323025114</v>
      </c>
      <c r="V22" s="146">
        <f>DPO_Active*(IS!V43/90)</f>
        <v>73590.7053457447</v>
      </c>
      <c r="W22" s="146">
        <f>V22</f>
        <v>73590.7053457447</v>
      </c>
      <c r="X22" s="129" t="n"/>
      <c r="Y22" s="177">
        <f>K22</f>
        <v>57349</v>
      </c>
      <c r="Z22" s="129" t="n"/>
      <c r="AA22" s="129" t="n"/>
      <c r="AB22" s="146">
        <f>DPO_Active*(IS!AB43/90)</f>
        <v>66131.7668688687</v>
      </c>
      <c r="AC22" s="146">
        <f>DPO_Active*(IS!AC43/90)</f>
        <v>72616.0040818196</v>
      </c>
      <c r="AD22" s="146">
        <f>AC22</f>
        <v>72616.0040818196</v>
      </c>
      <c r="AE22" s="129" t="n"/>
      <c r="AF22" s="146">
        <f>DPO_Active*(IS!AF43/90)</f>
        <v>94496.4923343195</v>
      </c>
      <c r="AG22" s="146">
        <f>DPO_Active*(IS!AG43/90)</f>
        <v>72102.4605025252</v>
      </c>
      <c r="AH22" s="146">
        <f>DPO_Active*(IS!AH43/90)</f>
        <v>69616.1697219986</v>
      </c>
      <c r="AI22" s="146">
        <f>DPO_Active*(IS!AI43/90)</f>
        <v>76442.0535552489</v>
      </c>
      <c r="AJ22" s="146">
        <f>AI22</f>
        <v>76442.0535552489</v>
      </c>
      <c r="AK22" s="129" t="n"/>
    </row>
    <row r="23">
      <c r="A23" s="127" t="inlineStr">
        <is>
          <t>Other current liabilities ($M)</t>
        </is>
      </c>
      <c r="B23" s="169" t="inlineStr">
        <is>
          <t>n/a</t>
        </is>
      </c>
      <c r="C23" s="169" t="inlineStr">
        <is>
          <t>n/a</t>
        </is>
      </c>
      <c r="D23" s="170" t="inlineStr">
        <is>
          <t>n/a</t>
        </is>
      </c>
      <c r="E23" s="166" t="n">
        <v>78304</v>
      </c>
      <c r="F23" s="170" t="inlineStr">
        <is>
          <t>n/a</t>
        </is>
      </c>
      <c r="G23" s="170" t="inlineStr">
        <is>
          <t>n/a</t>
        </is>
      </c>
      <c r="H23" s="170" t="inlineStr">
        <is>
          <t>n/a</t>
        </is>
      </c>
      <c r="I23" s="166" t="n">
        <v>66387</v>
      </c>
      <c r="J23" s="170" t="inlineStr">
        <is>
          <t>n/a</t>
        </is>
      </c>
      <c r="K23" s="170" t="inlineStr">
        <is>
          <t>n/a</t>
        </is>
      </c>
      <c r="L23" s="146">
        <f>$I$23</f>
        <v>66387</v>
      </c>
      <c r="M23" s="146">
        <f>$I$23</f>
        <v>66387</v>
      </c>
      <c r="N23" s="146">
        <f>$I$23</f>
        <v>66387</v>
      </c>
      <c r="O23" s="146">
        <f>$I$23</f>
        <v>66387</v>
      </c>
      <c r="P23" s="146">
        <f>O23</f>
        <v>66387</v>
      </c>
      <c r="Q23" s="170" t="inlineStr">
        <is>
          <t>n/a</t>
        </is>
      </c>
      <c r="R23" s="129" t="n"/>
      <c r="S23" s="129" t="n"/>
      <c r="T23" s="146">
        <f>$I$23</f>
        <v>66387</v>
      </c>
      <c r="U23" s="146">
        <f>$I$23</f>
        <v>66387</v>
      </c>
      <c r="V23" s="146">
        <f>$I$23</f>
        <v>66387</v>
      </c>
      <c r="W23" s="146">
        <f>V23</f>
        <v>66387</v>
      </c>
      <c r="X23" s="129" t="n"/>
      <c r="Y23" s="170" t="inlineStr">
        <is>
          <t>n/a</t>
        </is>
      </c>
      <c r="Z23" s="129" t="n"/>
      <c r="AA23" s="129" t="n"/>
      <c r="AB23" s="146">
        <f>$I$23</f>
        <v>66387</v>
      </c>
      <c r="AC23" s="146">
        <f>$I$23</f>
        <v>66387</v>
      </c>
      <c r="AD23" s="146">
        <f>AC23</f>
        <v>66387</v>
      </c>
      <c r="AE23" s="129" t="n"/>
      <c r="AF23" s="146">
        <f>$I$23</f>
        <v>66387</v>
      </c>
      <c r="AG23" s="146">
        <f>$I$23</f>
        <v>66387</v>
      </c>
      <c r="AH23" s="146">
        <f>$I$23</f>
        <v>66387</v>
      </c>
      <c r="AI23" s="146">
        <f>$I$23</f>
        <v>66387</v>
      </c>
      <c r="AJ23" s="146">
        <f>AI23</f>
        <v>66387</v>
      </c>
      <c r="AK23" s="129" t="n"/>
    </row>
    <row r="24">
      <c r="A24" s="127" t="inlineStr">
        <is>
          <t>Deferred revenue ($M)</t>
        </is>
      </c>
      <c r="B24" s="169" t="inlineStr">
        <is>
          <t>n/a</t>
        </is>
      </c>
      <c r="C24" s="169" t="inlineStr">
        <is>
          <t>n/a</t>
        </is>
      </c>
      <c r="D24" s="170" t="inlineStr">
        <is>
          <t>n/a</t>
        </is>
      </c>
      <c r="E24" s="166" t="n">
        <v>8249</v>
      </c>
      <c r="F24" s="170" t="inlineStr">
        <is>
          <t>n/a</t>
        </is>
      </c>
      <c r="G24" s="170" t="inlineStr">
        <is>
          <t>n/a</t>
        </is>
      </c>
      <c r="H24" s="170" t="inlineStr">
        <is>
          <t>n/a</t>
        </is>
      </c>
      <c r="I24" s="166" t="n">
        <v>9055</v>
      </c>
      <c r="J24" s="170" t="inlineStr">
        <is>
          <t>n/a</t>
        </is>
      </c>
      <c r="K24" s="170" t="inlineStr">
        <is>
          <t>n/a</t>
        </is>
      </c>
      <c r="L24" s="146">
        <f>$I$24</f>
        <v>9055</v>
      </c>
      <c r="M24" s="146">
        <f>$I$24</f>
        <v>9055</v>
      </c>
      <c r="N24" s="146">
        <f>$I$24</f>
        <v>9055</v>
      </c>
      <c r="O24" s="146">
        <f>$I$24</f>
        <v>9055</v>
      </c>
      <c r="P24" s="146">
        <f>O24</f>
        <v>9055</v>
      </c>
      <c r="Q24" s="170" t="inlineStr">
        <is>
          <t>n/a</t>
        </is>
      </c>
      <c r="R24" s="129" t="n"/>
      <c r="S24" s="129" t="n"/>
      <c r="T24" s="146">
        <f>$I$24</f>
        <v>9055</v>
      </c>
      <c r="U24" s="146">
        <f>$I$24</f>
        <v>9055</v>
      </c>
      <c r="V24" s="146">
        <f>$I$24</f>
        <v>9055</v>
      </c>
      <c r="W24" s="146">
        <f>V24</f>
        <v>9055</v>
      </c>
      <c r="X24" s="129" t="n"/>
      <c r="Y24" s="170" t="inlineStr">
        <is>
          <t>n/a</t>
        </is>
      </c>
      <c r="Z24" s="129" t="n"/>
      <c r="AA24" s="129" t="n"/>
      <c r="AB24" s="146">
        <f>$I$24</f>
        <v>9055</v>
      </c>
      <c r="AC24" s="146">
        <f>$I$24</f>
        <v>9055</v>
      </c>
      <c r="AD24" s="146">
        <f>AC24</f>
        <v>9055</v>
      </c>
      <c r="AE24" s="129" t="n"/>
      <c r="AF24" s="146">
        <f>$I$24</f>
        <v>9055</v>
      </c>
      <c r="AG24" s="146">
        <f>$I$24</f>
        <v>9055</v>
      </c>
      <c r="AH24" s="146">
        <f>$I$24</f>
        <v>9055</v>
      </c>
      <c r="AI24" s="146">
        <f>$I$24</f>
        <v>9055</v>
      </c>
      <c r="AJ24" s="146">
        <f>AI24</f>
        <v>9055</v>
      </c>
      <c r="AK24" s="129" t="n"/>
    </row>
    <row r="25">
      <c r="A25" s="127" t="inlineStr">
        <is>
          <t>Commercial paper ($M)</t>
        </is>
      </c>
      <c r="B25" s="169" t="inlineStr">
        <is>
          <t>n/a</t>
        </is>
      </c>
      <c r="C25" s="169" t="inlineStr">
        <is>
          <t>n/a</t>
        </is>
      </c>
      <c r="D25" s="170" t="inlineStr">
        <is>
          <t>n/a</t>
        </is>
      </c>
      <c r="E25" s="166" t="n">
        <v>9967</v>
      </c>
      <c r="F25" s="170" t="inlineStr">
        <is>
          <t>n/a</t>
        </is>
      </c>
      <c r="G25" s="170" t="inlineStr">
        <is>
          <t>n/a</t>
        </is>
      </c>
      <c r="H25" s="170" t="inlineStr">
        <is>
          <t>n/a</t>
        </is>
      </c>
      <c r="I25" s="166" t="n">
        <v>7979</v>
      </c>
      <c r="J25" s="170" t="inlineStr">
        <is>
          <t>n/a</t>
        </is>
      </c>
      <c r="K25" s="170" t="inlineStr">
        <is>
          <t>n/a</t>
        </is>
      </c>
      <c r="L25" s="146">
        <f>$I$25</f>
        <v>7979</v>
      </c>
      <c r="M25" s="146">
        <f>$I$25</f>
        <v>7979</v>
      </c>
      <c r="N25" s="146">
        <f>$I$25</f>
        <v>7979</v>
      </c>
      <c r="O25" s="146">
        <f>$I$25</f>
        <v>7979</v>
      </c>
      <c r="P25" s="146">
        <f>O25</f>
        <v>7979</v>
      </c>
      <c r="Q25" s="170" t="inlineStr">
        <is>
          <t>n/a</t>
        </is>
      </c>
      <c r="R25" s="129" t="n"/>
      <c r="S25" s="129" t="n"/>
      <c r="T25" s="146">
        <f>$I$25</f>
        <v>7979</v>
      </c>
      <c r="U25" s="146">
        <f>$I$25</f>
        <v>7979</v>
      </c>
      <c r="V25" s="146">
        <f>$I$25</f>
        <v>7979</v>
      </c>
      <c r="W25" s="146">
        <f>V25</f>
        <v>7979</v>
      </c>
      <c r="X25" s="129" t="n"/>
      <c r="Y25" s="170" t="inlineStr">
        <is>
          <t>n/a</t>
        </is>
      </c>
      <c r="Z25" s="129" t="n"/>
      <c r="AA25" s="129" t="n"/>
      <c r="AB25" s="146">
        <f>$I$25</f>
        <v>7979</v>
      </c>
      <c r="AC25" s="146">
        <f>$I$25</f>
        <v>7979</v>
      </c>
      <c r="AD25" s="146">
        <f>AC25</f>
        <v>7979</v>
      </c>
      <c r="AE25" s="129" t="n"/>
      <c r="AF25" s="146">
        <f>$I$25</f>
        <v>7979</v>
      </c>
      <c r="AG25" s="146">
        <f>$I$25</f>
        <v>7979</v>
      </c>
      <c r="AH25" s="146">
        <f>$I$25</f>
        <v>7979</v>
      </c>
      <c r="AI25" s="146">
        <f>$I$25</f>
        <v>7979</v>
      </c>
      <c r="AJ25" s="146">
        <f>AI25</f>
        <v>7979</v>
      </c>
      <c r="AK25" s="129" t="n"/>
    </row>
    <row r="26">
      <c r="A26" s="127" t="inlineStr">
        <is>
          <t>Term debt - current ($M)</t>
        </is>
      </c>
      <c r="B26" s="169" t="inlineStr">
        <is>
          <t>n/a</t>
        </is>
      </c>
      <c r="C26" s="169" t="inlineStr">
        <is>
          <t>n/a</t>
        </is>
      </c>
      <c r="D26" s="170" t="inlineStr">
        <is>
          <t>n/a</t>
        </is>
      </c>
      <c r="E26" s="166" t="n">
        <v>10912</v>
      </c>
      <c r="F26" s="170" t="inlineStr">
        <is>
          <t>n/a</t>
        </is>
      </c>
      <c r="G26" s="170" t="inlineStr">
        <is>
          <t>n/a</t>
        </is>
      </c>
      <c r="H26" s="170" t="inlineStr">
        <is>
          <t>n/a</t>
        </is>
      </c>
      <c r="I26" s="166" t="n">
        <v>12350</v>
      </c>
      <c r="J26" s="170" t="inlineStr">
        <is>
          <t>n/a</t>
        </is>
      </c>
      <c r="K26" s="170" t="inlineStr">
        <is>
          <t>n/a</t>
        </is>
      </c>
      <c r="L26" s="146">
        <f>$I$26</f>
        <v>12350</v>
      </c>
      <c r="M26" s="146">
        <f>$I$26</f>
        <v>12350</v>
      </c>
      <c r="N26" s="146">
        <f>$I$26</f>
        <v>12350</v>
      </c>
      <c r="O26" s="146">
        <f>$I$26</f>
        <v>12350</v>
      </c>
      <c r="P26" s="146">
        <f>O26</f>
        <v>12350</v>
      </c>
      <c r="Q26" s="170" t="inlineStr">
        <is>
          <t>n/a</t>
        </is>
      </c>
      <c r="R26" s="129" t="n"/>
      <c r="S26" s="129" t="n"/>
      <c r="T26" s="146">
        <f>$I$26</f>
        <v>12350</v>
      </c>
      <c r="U26" s="146">
        <f>$I$26</f>
        <v>12350</v>
      </c>
      <c r="V26" s="146">
        <f>$I$26</f>
        <v>12350</v>
      </c>
      <c r="W26" s="146">
        <f>V26</f>
        <v>12350</v>
      </c>
      <c r="X26" s="129" t="n"/>
      <c r="Y26" s="170" t="inlineStr">
        <is>
          <t>n/a</t>
        </is>
      </c>
      <c r="Z26" s="129" t="n"/>
      <c r="AA26" s="129" t="n"/>
      <c r="AB26" s="146">
        <f>$I$26</f>
        <v>12350</v>
      </c>
      <c r="AC26" s="146">
        <f>$I$26</f>
        <v>12350</v>
      </c>
      <c r="AD26" s="146">
        <f>AC26</f>
        <v>12350</v>
      </c>
      <c r="AE26" s="129" t="n"/>
      <c r="AF26" s="146">
        <f>$I$26</f>
        <v>12350</v>
      </c>
      <c r="AG26" s="146">
        <f>$I$26</f>
        <v>12350</v>
      </c>
      <c r="AH26" s="146">
        <f>$I$26</f>
        <v>12350</v>
      </c>
      <c r="AI26" s="146">
        <f>$I$26</f>
        <v>12350</v>
      </c>
      <c r="AJ26" s="146">
        <f>AI26</f>
        <v>12350</v>
      </c>
      <c r="AK26" s="129" t="n"/>
    </row>
    <row r="27">
      <c r="A27" s="164" t="inlineStr">
        <is>
          <t>Total current liabilities ($M)</t>
        </is>
      </c>
      <c r="B27" s="169" t="inlineStr">
        <is>
          <t>n/a</t>
        </is>
      </c>
      <c r="C27" s="169" t="inlineStr">
        <is>
          <t>n/a</t>
        </is>
      </c>
      <c r="D27" s="170" t="inlineStr">
        <is>
          <t>n/a</t>
        </is>
      </c>
      <c r="E27" s="171">
        <f>SUM(E22:E26)</f>
        <v>176392</v>
      </c>
      <c r="F27" s="170" t="inlineStr">
        <is>
          <t>n/a</t>
        </is>
      </c>
      <c r="G27" s="170" t="inlineStr">
        <is>
          <t>n/a</t>
        </is>
      </c>
      <c r="H27" s="170" t="inlineStr">
        <is>
          <t>n/a</t>
        </is>
      </c>
      <c r="I27" s="171">
        <f>SUM(I22:I26)</f>
        <v>165631</v>
      </c>
      <c r="J27" s="170" t="inlineStr">
        <is>
          <t>n/a</t>
        </is>
      </c>
      <c r="K27" s="170" t="inlineStr">
        <is>
          <t>n/a</t>
        </is>
      </c>
      <c r="L27" s="171">
        <f>SUM(L22:L26)</f>
        <v>184592.225772028</v>
      </c>
      <c r="M27" s="171">
        <f>SUM(M22:M26)</f>
        <v>163543.133809538</v>
      </c>
      <c r="N27" s="171">
        <f>SUM(N22:N26)</f>
        <v>161206.164581403</v>
      </c>
      <c r="O27" s="171">
        <f>SUM(O22:O26)</f>
        <v>167622.099756031</v>
      </c>
      <c r="P27" s="171">
        <f>O27</f>
        <v>167622.099756031</v>
      </c>
      <c r="Q27" s="170" t="inlineStr">
        <is>
          <t>n/a</t>
        </is>
      </c>
      <c r="R27" s="129" t="n"/>
      <c r="S27" s="129" t="n"/>
      <c r="T27" s="171">
        <f>SUM(T22:T26)</f>
        <v>165183.982498037</v>
      </c>
      <c r="U27" s="171">
        <f>SUM(U22:U26)</f>
        <v>162790.432302511</v>
      </c>
      <c r="V27" s="171">
        <f>SUM(V22:V26)</f>
        <v>169361.705345745</v>
      </c>
      <c r="W27" s="171">
        <f>V27</f>
        <v>169361.705345745</v>
      </c>
      <c r="X27" s="129" t="n"/>
      <c r="Y27" s="170" t="inlineStr">
        <is>
          <t>n/a</t>
        </is>
      </c>
      <c r="Z27" s="129" t="n"/>
      <c r="AA27" s="129" t="n"/>
      <c r="AB27" s="171">
        <f>SUM(AB22:AB26)</f>
        <v>161902.766868869</v>
      </c>
      <c r="AC27" s="171">
        <f>SUM(AC22:AC26)</f>
        <v>168387.00408182</v>
      </c>
      <c r="AD27" s="171">
        <f>AC27</f>
        <v>168387.00408182</v>
      </c>
      <c r="AE27" s="129" t="n"/>
      <c r="AF27" s="171">
        <f>SUM(AF22:AF26)</f>
        <v>190267.49233432</v>
      </c>
      <c r="AG27" s="171">
        <f>SUM(AG22:AG26)</f>
        <v>167873.460502525</v>
      </c>
      <c r="AH27" s="171">
        <f>SUM(AH22:AH26)</f>
        <v>165387.169721999</v>
      </c>
      <c r="AI27" s="171">
        <f>SUM(AI22:AI26)</f>
        <v>172213.053555249</v>
      </c>
      <c r="AJ27" s="171">
        <f>AI27</f>
        <v>172213.053555249</v>
      </c>
      <c r="AK27" s="129" t="n"/>
    </row>
    <row r="28">
      <c r="A28" s="127" t="inlineStr">
        <is>
          <t>Term debt - non-current ($M)</t>
        </is>
      </c>
      <c r="B28" s="169" t="inlineStr">
        <is>
          <t>n/a</t>
        </is>
      </c>
      <c r="C28" s="169" t="inlineStr">
        <is>
          <t>n/a</t>
        </is>
      </c>
      <c r="D28" s="170" t="inlineStr">
        <is>
          <t>n/a</t>
        </is>
      </c>
      <c r="E28" s="166" t="n">
        <v>85750</v>
      </c>
      <c r="F28" s="170" t="inlineStr">
        <is>
          <t>n/a</t>
        </is>
      </c>
      <c r="G28" s="170" t="inlineStr">
        <is>
          <t>n/a</t>
        </is>
      </c>
      <c r="H28" s="170" t="inlineStr">
        <is>
          <t>n/a</t>
        </is>
      </c>
      <c r="I28" s="166" t="n">
        <v>78328</v>
      </c>
      <c r="J28" s="170" t="inlineStr">
        <is>
          <t>n/a</t>
        </is>
      </c>
      <c r="K28" s="170" t="inlineStr">
        <is>
          <t>n/a</t>
        </is>
      </c>
      <c r="L28" s="146">
        <f>I28+Debt_Roll_Active</f>
        <v>78328</v>
      </c>
      <c r="M28" s="146">
        <f>L28+Debt_Roll_Active</f>
        <v>78328</v>
      </c>
      <c r="N28" s="146">
        <f>M28+Debt_Roll_Active</f>
        <v>78328</v>
      </c>
      <c r="O28" s="146">
        <f>N28+Debt_Roll_Active</f>
        <v>78328</v>
      </c>
      <c r="P28" s="146">
        <f>O28</f>
        <v>78328</v>
      </c>
      <c r="Q28" s="170" t="inlineStr">
        <is>
          <t>n/a</t>
        </is>
      </c>
      <c r="R28" s="129" t="n"/>
      <c r="S28" s="129" t="n"/>
      <c r="T28" s="146">
        <f>L28+Debt_Roll_Active</f>
        <v>78328</v>
      </c>
      <c r="U28" s="146">
        <f>T28+Debt_Roll_Active</f>
        <v>78328</v>
      </c>
      <c r="V28" s="146">
        <f>U28+Debt_Roll_Active</f>
        <v>78328</v>
      </c>
      <c r="W28" s="146">
        <f>V28</f>
        <v>78328</v>
      </c>
      <c r="X28" s="129" t="n"/>
      <c r="Y28" s="170" t="inlineStr">
        <is>
          <t>n/a</t>
        </is>
      </c>
      <c r="Z28" s="129" t="n"/>
      <c r="AA28" s="129" t="n"/>
      <c r="AB28" s="146">
        <f>T28+Debt_Roll_Active</f>
        <v>78328</v>
      </c>
      <c r="AC28" s="146">
        <f>AB28+Debt_Roll_Active</f>
        <v>78328</v>
      </c>
      <c r="AD28" s="146">
        <f>AC28</f>
        <v>78328</v>
      </c>
      <c r="AE28" s="129" t="n"/>
      <c r="AF28" s="146">
        <f>AC28+Debt_Roll_Active</f>
        <v>78328</v>
      </c>
      <c r="AG28" s="146">
        <f>AF28+Debt_Roll_Active</f>
        <v>78328</v>
      </c>
      <c r="AH28" s="146">
        <f>AG28+Debt_Roll_Active</f>
        <v>78328</v>
      </c>
      <c r="AI28" s="146">
        <f>AH28+Debt_Roll_Active</f>
        <v>78328</v>
      </c>
      <c r="AJ28" s="146">
        <f>AI28</f>
        <v>78328</v>
      </c>
      <c r="AK28" s="129" t="n"/>
    </row>
    <row r="29">
      <c r="A29" s="127" t="inlineStr">
        <is>
          <t>Other non-current liabilities ($M)</t>
        </is>
      </c>
      <c r="B29" s="169" t="inlineStr">
        <is>
          <t>n/a</t>
        </is>
      </c>
      <c r="C29" s="169" t="inlineStr">
        <is>
          <t>n/a</t>
        </is>
      </c>
      <c r="D29" s="170" t="inlineStr">
        <is>
          <t>n/a</t>
        </is>
      </c>
      <c r="E29" s="166" t="n">
        <v>45888</v>
      </c>
      <c r="F29" s="170" t="inlineStr">
        <is>
          <t>n/a</t>
        </is>
      </c>
      <c r="G29" s="170" t="inlineStr">
        <is>
          <t>n/a</t>
        </is>
      </c>
      <c r="H29" s="170" t="inlineStr">
        <is>
          <t>n/a</t>
        </is>
      </c>
      <c r="I29" s="166" t="n">
        <v>41549</v>
      </c>
      <c r="J29" s="170" t="inlineStr">
        <is>
          <t>n/a</t>
        </is>
      </c>
      <c r="K29" s="170" t="inlineStr">
        <is>
          <t>n/a</t>
        </is>
      </c>
      <c r="L29" s="146">
        <f>$I$29</f>
        <v>41549</v>
      </c>
      <c r="M29" s="146">
        <f>$I$29</f>
        <v>41549</v>
      </c>
      <c r="N29" s="146">
        <f>$I$29</f>
        <v>41549</v>
      </c>
      <c r="O29" s="146">
        <f>$I$29</f>
        <v>41549</v>
      </c>
      <c r="P29" s="146">
        <f>O29</f>
        <v>41549</v>
      </c>
      <c r="Q29" s="170" t="inlineStr">
        <is>
          <t>n/a</t>
        </is>
      </c>
      <c r="R29" s="129" t="n"/>
      <c r="S29" s="129" t="n"/>
      <c r="T29" s="146">
        <f>$I$29</f>
        <v>41549</v>
      </c>
      <c r="U29" s="146">
        <f>$I$29</f>
        <v>41549</v>
      </c>
      <c r="V29" s="146">
        <f>$I$29</f>
        <v>41549</v>
      </c>
      <c r="W29" s="146">
        <f>V29</f>
        <v>41549</v>
      </c>
      <c r="X29" s="129" t="n"/>
      <c r="Y29" s="170" t="inlineStr">
        <is>
          <t>n/a</t>
        </is>
      </c>
      <c r="Z29" s="129" t="n"/>
      <c r="AA29" s="129" t="n"/>
      <c r="AB29" s="146">
        <f>$I$29</f>
        <v>41549</v>
      </c>
      <c r="AC29" s="146">
        <f>$I$29</f>
        <v>41549</v>
      </c>
      <c r="AD29" s="146">
        <f>AC29</f>
        <v>41549</v>
      </c>
      <c r="AE29" s="129" t="n"/>
      <c r="AF29" s="146">
        <f>$I$29</f>
        <v>41549</v>
      </c>
      <c r="AG29" s="146">
        <f>$I$29</f>
        <v>41549</v>
      </c>
      <c r="AH29" s="146">
        <f>$I$29</f>
        <v>41549</v>
      </c>
      <c r="AI29" s="146">
        <f>$I$29</f>
        <v>41549</v>
      </c>
      <c r="AJ29" s="146">
        <f>AI29</f>
        <v>41549</v>
      </c>
      <c r="AK29" s="129" t="n"/>
    </row>
    <row r="30">
      <c r="A30" s="164" t="inlineStr">
        <is>
          <t>Total non-current liabilities ($M)</t>
        </is>
      </c>
      <c r="B30" s="169" t="inlineStr">
        <is>
          <t>n/a</t>
        </is>
      </c>
      <c r="C30" s="169" t="inlineStr">
        <is>
          <t>n/a</t>
        </is>
      </c>
      <c r="D30" s="170" t="inlineStr">
        <is>
          <t>n/a</t>
        </is>
      </c>
      <c r="E30" s="171">
        <f>SUM(E28:E29)</f>
        <v>131638</v>
      </c>
      <c r="F30" s="170" t="inlineStr">
        <is>
          <t>n/a</t>
        </is>
      </c>
      <c r="G30" s="170" t="inlineStr">
        <is>
          <t>n/a</t>
        </is>
      </c>
      <c r="H30" s="170" t="inlineStr">
        <is>
          <t>n/a</t>
        </is>
      </c>
      <c r="I30" s="171">
        <f>SUM(I28:I29)</f>
        <v>119877</v>
      </c>
      <c r="J30" s="170" t="inlineStr">
        <is>
          <t>n/a</t>
        </is>
      </c>
      <c r="K30" s="170" t="inlineStr">
        <is>
          <t>n/a</t>
        </is>
      </c>
      <c r="L30" s="171">
        <f>SUM(L28:L29)</f>
        <v>119877</v>
      </c>
      <c r="M30" s="171">
        <f>SUM(M28:M29)</f>
        <v>119877</v>
      </c>
      <c r="N30" s="171">
        <f>SUM(N28:N29)</f>
        <v>119877</v>
      </c>
      <c r="O30" s="171">
        <f>SUM(O28:O29)</f>
        <v>119877</v>
      </c>
      <c r="P30" s="171">
        <f>O30</f>
        <v>119877</v>
      </c>
      <c r="Q30" s="170" t="inlineStr">
        <is>
          <t>n/a</t>
        </is>
      </c>
      <c r="R30" s="129" t="n"/>
      <c r="S30" s="129" t="n"/>
      <c r="T30" s="171">
        <f>SUM(T28:T29)</f>
        <v>119877</v>
      </c>
      <c r="U30" s="171">
        <f>SUM(U28:U29)</f>
        <v>119877</v>
      </c>
      <c r="V30" s="171">
        <f>SUM(V28:V29)</f>
        <v>119877</v>
      </c>
      <c r="W30" s="171">
        <f>V30</f>
        <v>119877</v>
      </c>
      <c r="X30" s="129" t="n"/>
      <c r="Y30" s="170" t="inlineStr">
        <is>
          <t>n/a</t>
        </is>
      </c>
      <c r="Z30" s="129" t="n"/>
      <c r="AA30" s="129" t="n"/>
      <c r="AB30" s="171">
        <f>SUM(AB28:AB29)</f>
        <v>119877</v>
      </c>
      <c r="AC30" s="171">
        <f>SUM(AC28:AC29)</f>
        <v>119877</v>
      </c>
      <c r="AD30" s="171">
        <f>AC30</f>
        <v>119877</v>
      </c>
      <c r="AE30" s="129" t="n"/>
      <c r="AF30" s="171">
        <f>SUM(AF28:AF29)</f>
        <v>119877</v>
      </c>
      <c r="AG30" s="171">
        <f>SUM(AG28:AG29)</f>
        <v>119877</v>
      </c>
      <c r="AH30" s="171">
        <f>SUM(AH28:AH29)</f>
        <v>119877</v>
      </c>
      <c r="AI30" s="171">
        <f>SUM(AI28:AI29)</f>
        <v>119877</v>
      </c>
      <c r="AJ30" s="171">
        <f>AI30</f>
        <v>119877</v>
      </c>
      <c r="AK30" s="129" t="n"/>
    </row>
    <row r="31">
      <c r="A31" s="164" t="inlineStr">
        <is>
          <t>TOTAL LIABILITIES ($M)</t>
        </is>
      </c>
      <c r="B31" s="169" t="inlineStr">
        <is>
          <t>n/a</t>
        </is>
      </c>
      <c r="C31" s="169" t="inlineStr">
        <is>
          <t>n/a</t>
        </is>
      </c>
      <c r="D31" s="170" t="inlineStr">
        <is>
          <t>n/a</t>
        </is>
      </c>
      <c r="E31" s="171">
        <f>E27+E30</f>
        <v>308030</v>
      </c>
      <c r="F31" s="170" t="inlineStr">
        <is>
          <t>n/a</t>
        </is>
      </c>
      <c r="G31" s="170" t="inlineStr">
        <is>
          <t>n/a</t>
        </is>
      </c>
      <c r="H31" s="170" t="inlineStr">
        <is>
          <t>n/a</t>
        </is>
      </c>
      <c r="I31" s="171">
        <f>I27+I30</f>
        <v>285508</v>
      </c>
      <c r="J31" s="170" t="inlineStr">
        <is>
          <t>n/a</t>
        </is>
      </c>
      <c r="K31" s="170" t="inlineStr">
        <is>
          <t>n/a</t>
        </is>
      </c>
      <c r="L31" s="171">
        <f>L27+L30</f>
        <v>304469.225772028</v>
      </c>
      <c r="M31" s="171">
        <f>M27+M30</f>
        <v>283420.133809538</v>
      </c>
      <c r="N31" s="171">
        <f>N27+N30</f>
        <v>281083.164581403</v>
      </c>
      <c r="O31" s="171">
        <f>O27+O30</f>
        <v>287499.099756031</v>
      </c>
      <c r="P31" s="171">
        <f>O31</f>
        <v>287499.099756031</v>
      </c>
      <c r="Q31" s="170" t="inlineStr">
        <is>
          <t>n/a</t>
        </is>
      </c>
      <c r="R31" s="129" t="n"/>
      <c r="S31" s="129" t="n"/>
      <c r="T31" s="171">
        <f>T27+T30</f>
        <v>285060.982498037</v>
      </c>
      <c r="U31" s="171">
        <f>U27+U30</f>
        <v>282667.432302511</v>
      </c>
      <c r="V31" s="171">
        <f>V27+V30</f>
        <v>289238.705345745</v>
      </c>
      <c r="W31" s="171">
        <f>V31</f>
        <v>289238.705345745</v>
      </c>
      <c r="X31" s="129" t="n"/>
      <c r="Y31" s="170" t="inlineStr">
        <is>
          <t>n/a</t>
        </is>
      </c>
      <c r="Z31" s="129" t="n"/>
      <c r="AA31" s="129" t="n"/>
      <c r="AB31" s="171">
        <f>AB27+AB30</f>
        <v>281779.766868869</v>
      </c>
      <c r="AC31" s="171">
        <f>AC27+AC30</f>
        <v>288264.00408182</v>
      </c>
      <c r="AD31" s="171">
        <f>AC31</f>
        <v>288264.00408182</v>
      </c>
      <c r="AE31" s="129" t="n"/>
      <c r="AF31" s="171">
        <f>AF27+AF30</f>
        <v>310144.49233432</v>
      </c>
      <c r="AG31" s="171">
        <f>AG27+AG30</f>
        <v>287750.460502525</v>
      </c>
      <c r="AH31" s="171">
        <f>AH27+AH30</f>
        <v>285264.169721999</v>
      </c>
      <c r="AI31" s="171">
        <f>AI27+AI30</f>
        <v>292090.053555249</v>
      </c>
      <c r="AJ31" s="171">
        <f>AI31</f>
        <v>292090.053555249</v>
      </c>
      <c r="AK31" s="129" t="n"/>
    </row>
    <row r="32">
      <c r="A32" s="129" t="n"/>
      <c r="B32" s="129" t="n"/>
      <c r="C32" s="129" t="n"/>
      <c r="D32" s="129" t="n"/>
      <c r="E32" s="129" t="n"/>
      <c r="F32" s="129" t="n"/>
      <c r="G32" s="129" t="n"/>
      <c r="H32" s="129" t="n"/>
      <c r="I32" s="129" t="n"/>
      <c r="J32" s="129" t="n"/>
      <c r="K32" s="129" t="n"/>
      <c r="L32" s="129" t="n"/>
      <c r="M32" s="129" t="n"/>
      <c r="N32" s="129" t="n"/>
      <c r="O32" s="129" t="n"/>
      <c r="P32" s="129" t="n"/>
      <c r="Q32" s="129" t="n"/>
      <c r="R32" s="129" t="n"/>
      <c r="S32" s="129" t="n"/>
      <c r="T32" s="129" t="n"/>
      <c r="U32" s="129" t="n"/>
      <c r="V32" s="129" t="n"/>
      <c r="W32" s="129" t="n"/>
      <c r="X32" s="129" t="n"/>
      <c r="Y32" s="129" t="n"/>
      <c r="Z32" s="129" t="n"/>
      <c r="AA32" s="129" t="n"/>
      <c r="AB32" s="129" t="n"/>
      <c r="AC32" s="129" t="n"/>
      <c r="AD32" s="129" t="n"/>
      <c r="AE32" s="129" t="n"/>
      <c r="AF32" s="129" t="n"/>
      <c r="AG32" s="129" t="n"/>
      <c r="AH32" s="129" t="n"/>
      <c r="AI32" s="129" t="n"/>
      <c r="AJ32" s="129" t="n"/>
      <c r="AK32" s="129" t="n"/>
    </row>
    <row r="33">
      <c r="A33" s="127" t="inlineStr">
        <is>
          <t>Common stock and additional paid-in capital ($M)</t>
        </is>
      </c>
      <c r="B33" s="169" t="inlineStr">
        <is>
          <t>n/a</t>
        </is>
      </c>
      <c r="C33" s="169" t="inlineStr">
        <is>
          <t>n/a</t>
        </is>
      </c>
      <c r="D33" s="170" t="inlineStr">
        <is>
          <t>n/a</t>
        </is>
      </c>
      <c r="E33" s="166" t="n">
        <v>83276</v>
      </c>
      <c r="F33" s="170" t="inlineStr">
        <is>
          <t>n/a</t>
        </is>
      </c>
      <c r="G33" s="170" t="inlineStr">
        <is>
          <t>n/a</t>
        </is>
      </c>
      <c r="H33" s="170" t="inlineStr">
        <is>
          <t>n/a</t>
        </is>
      </c>
      <c r="I33" s="166" t="n">
        <v>93568</v>
      </c>
      <c r="J33" s="170" t="inlineStr">
        <is>
          <t>n/a</t>
        </is>
      </c>
      <c r="K33" s="170" t="inlineStr">
        <is>
          <t>n/a</t>
        </is>
      </c>
      <c r="L33" s="146">
        <f>$I$33</f>
        <v>93568</v>
      </c>
      <c r="M33" s="146">
        <f>$I$33</f>
        <v>93568</v>
      </c>
      <c r="N33" s="146">
        <f>$I$33</f>
        <v>93568</v>
      </c>
      <c r="O33" s="146">
        <f>$I$33</f>
        <v>93568</v>
      </c>
      <c r="P33" s="146">
        <f>O33</f>
        <v>93568</v>
      </c>
      <c r="Q33" s="170" t="inlineStr">
        <is>
          <t>n/a</t>
        </is>
      </c>
      <c r="R33" s="129" t="n"/>
      <c r="S33" s="129" t="n"/>
      <c r="T33" s="146">
        <f>$I$33</f>
        <v>93568</v>
      </c>
      <c r="U33" s="146">
        <f>$I$33</f>
        <v>93568</v>
      </c>
      <c r="V33" s="146">
        <f>$I$33</f>
        <v>93568</v>
      </c>
      <c r="W33" s="146">
        <f>V33</f>
        <v>93568</v>
      </c>
      <c r="X33" s="129" t="n"/>
      <c r="Y33" s="170" t="inlineStr">
        <is>
          <t>n/a</t>
        </is>
      </c>
      <c r="Z33" s="129" t="n"/>
      <c r="AA33" s="129" t="n"/>
      <c r="AB33" s="146">
        <f>$I$33</f>
        <v>93568</v>
      </c>
      <c r="AC33" s="146">
        <f>$I$33</f>
        <v>93568</v>
      </c>
      <c r="AD33" s="146">
        <f>AC33</f>
        <v>93568</v>
      </c>
      <c r="AE33" s="129" t="n"/>
      <c r="AF33" s="146">
        <f>$I$33</f>
        <v>93568</v>
      </c>
      <c r="AG33" s="146">
        <f>$I$33</f>
        <v>93568</v>
      </c>
      <c r="AH33" s="146">
        <f>$I$33</f>
        <v>93568</v>
      </c>
      <c r="AI33" s="146">
        <f>$I$33</f>
        <v>93568</v>
      </c>
      <c r="AJ33" s="146">
        <f>AI33</f>
        <v>93568</v>
      </c>
      <c r="AK33" s="129" t="n"/>
    </row>
    <row r="34">
      <c r="A34" s="127" t="inlineStr">
        <is>
          <t>Accumulated other comprehensive income/(loss) ($M)</t>
        </is>
      </c>
      <c r="B34" s="169" t="inlineStr">
        <is>
          <t>n/a</t>
        </is>
      </c>
      <c r="C34" s="169" t="inlineStr">
        <is>
          <t>n/a</t>
        </is>
      </c>
      <c r="D34" s="170" t="inlineStr">
        <is>
          <t>n/a</t>
        </is>
      </c>
      <c r="E34" s="166" t="n">
        <v>-7172</v>
      </c>
      <c r="F34" s="170" t="inlineStr">
        <is>
          <t>n/a</t>
        </is>
      </c>
      <c r="G34" s="170" t="inlineStr">
        <is>
          <t>n/a</t>
        </is>
      </c>
      <c r="H34" s="170" t="inlineStr">
        <is>
          <t>n/a</t>
        </is>
      </c>
      <c r="I34" s="166" t="n">
        <v>-5571</v>
      </c>
      <c r="J34" s="170" t="inlineStr">
        <is>
          <t>n/a</t>
        </is>
      </c>
      <c r="K34" s="170" t="inlineStr">
        <is>
          <t>n/a</t>
        </is>
      </c>
      <c r="L34" s="146">
        <f>$I$34</f>
        <v>-5571</v>
      </c>
      <c r="M34" s="146">
        <f>$I$34</f>
        <v>-5571</v>
      </c>
      <c r="N34" s="146">
        <f>$I$34</f>
        <v>-5571</v>
      </c>
      <c r="O34" s="146">
        <f>$I$34</f>
        <v>-5571</v>
      </c>
      <c r="P34" s="146">
        <f>O34</f>
        <v>-5571</v>
      </c>
      <c r="Q34" s="170" t="inlineStr">
        <is>
          <t>n/a</t>
        </is>
      </c>
      <c r="R34" s="129" t="n"/>
      <c r="S34" s="129" t="n"/>
      <c r="T34" s="146">
        <f>$I$34</f>
        <v>-5571</v>
      </c>
      <c r="U34" s="146">
        <f>$I$34</f>
        <v>-5571</v>
      </c>
      <c r="V34" s="146">
        <f>$I$34</f>
        <v>-5571</v>
      </c>
      <c r="W34" s="146">
        <f>V34</f>
        <v>-5571</v>
      </c>
      <c r="X34" s="129" t="n"/>
      <c r="Y34" s="170" t="inlineStr">
        <is>
          <t>n/a</t>
        </is>
      </c>
      <c r="Z34" s="129" t="n"/>
      <c r="AA34" s="129" t="n"/>
      <c r="AB34" s="146">
        <f>$I$34</f>
        <v>-5571</v>
      </c>
      <c r="AC34" s="146">
        <f>$I$34</f>
        <v>-5571</v>
      </c>
      <c r="AD34" s="146">
        <f>AC34</f>
        <v>-5571</v>
      </c>
      <c r="AE34" s="129" t="n"/>
      <c r="AF34" s="146">
        <f>$I$34</f>
        <v>-5571</v>
      </c>
      <c r="AG34" s="146">
        <f>$I$34</f>
        <v>-5571</v>
      </c>
      <c r="AH34" s="146">
        <f>$I$34</f>
        <v>-5571</v>
      </c>
      <c r="AI34" s="146">
        <f>$I$34</f>
        <v>-5571</v>
      </c>
      <c r="AJ34" s="146">
        <f>AI34</f>
        <v>-5571</v>
      </c>
      <c r="AK34" s="129" t="n"/>
    </row>
    <row r="35">
      <c r="A35" s="127" t="inlineStr">
        <is>
          <t>Retained earnings/(Accumulated deficit) ($M)</t>
        </is>
      </c>
      <c r="B35" s="169" t="inlineStr">
        <is>
          <t>n/a</t>
        </is>
      </c>
      <c r="C35" s="169" t="inlineStr">
        <is>
          <t>n/a</t>
        </is>
      </c>
      <c r="D35" s="170" t="inlineStr">
        <is>
          <t>n/a</t>
        </is>
      </c>
      <c r="E35" s="166" t="n">
        <v>-19154</v>
      </c>
      <c r="F35" s="170" t="inlineStr">
        <is>
          <t>n/a</t>
        </is>
      </c>
      <c r="G35" s="170" t="inlineStr">
        <is>
          <t>n/a</t>
        </is>
      </c>
      <c r="H35" s="170" t="inlineStr">
        <is>
          <t>n/a</t>
        </is>
      </c>
      <c r="I35" s="166" t="n">
        <v>-14264</v>
      </c>
      <c r="J35" s="170" t="inlineStr">
        <is>
          <t>n/a</t>
        </is>
      </c>
      <c r="K35" s="170" t="inlineStr">
        <is>
          <t>n/a</t>
        </is>
      </c>
      <c r="L35" s="146">
        <f>I35+IS!L53+CF!L26+CF!L25</f>
        <v>-23154.4485351691</v>
      </c>
      <c r="M35" s="146">
        <f>L35+IS!M53+CF!M26+CF!M25</f>
        <v>-17603.059131282</v>
      </c>
      <c r="N35" s="146">
        <f>M35+IS!N53+CF!N26+CF!N25</f>
        <v>-18129.1180711571</v>
      </c>
      <c r="O35" s="146">
        <f>N35+IS!O53+CF!O26+CF!O25</f>
        <v>-21646.134930673</v>
      </c>
      <c r="P35" s="146">
        <f>O35</f>
        <v>-21646.134930673</v>
      </c>
      <c r="Q35" s="170" t="inlineStr">
        <is>
          <t>n/a</t>
        </is>
      </c>
      <c r="R35" s="129" t="n"/>
      <c r="S35" s="129" t="n"/>
      <c r="T35" s="146">
        <f>L35+IS!T53+CF!T26+CF!T25</f>
        <v>-18242.6592490759</v>
      </c>
      <c r="U35" s="146">
        <f>T35+IS!U53+CF!U26+CF!U25</f>
        <v>-18849.2947618122</v>
      </c>
      <c r="V35" s="146">
        <f>U35+IS!V53+CF!V26+CF!V25</f>
        <v>-22525.9547834456</v>
      </c>
      <c r="W35" s="146">
        <f>V35</f>
        <v>-22525.9547834456</v>
      </c>
      <c r="X35" s="129" t="n"/>
      <c r="Y35" s="170" t="inlineStr">
        <is>
          <t>n/a</t>
        </is>
      </c>
      <c r="Z35" s="129" t="n"/>
      <c r="AA35" s="129" t="n"/>
      <c r="AB35" s="146">
        <f>T35+IS!AB53+CF!AB26+CF!AB25</f>
        <v>-17500.457869969</v>
      </c>
      <c r="AC35" s="146">
        <f>AB35+IS!AC53+CF!AC26+CF!AC25</f>
        <v>-20952.4436758131</v>
      </c>
      <c r="AD35" s="146">
        <f>AC35</f>
        <v>-20952.4436758131</v>
      </c>
      <c r="AE35" s="129" t="n"/>
      <c r="AF35" s="146">
        <f>AC35+IS!AF53+CF!AF26+CF!AF25</f>
        <v>-30670.9074771232</v>
      </c>
      <c r="AG35" s="146">
        <f>AF35+IS!AG53+CF!AG26+CF!AG25</f>
        <v>-24895.356203792</v>
      </c>
      <c r="AH35" s="146">
        <f>AG35+IS!AH53+CF!AH26+CF!AH25</f>
        <v>-25497.9786350802</v>
      </c>
      <c r="AI35" s="146">
        <f>AH35+IS!AI53+CF!AI26+CF!AI25</f>
        <v>-29245.3830395436</v>
      </c>
      <c r="AJ35" s="146">
        <f>AI35</f>
        <v>-29245.3830395436</v>
      </c>
      <c r="AK35" s="129" t="n"/>
    </row>
    <row r="36">
      <c r="A36" s="164" t="inlineStr">
        <is>
          <t>TOTAL SHAREHOLDERS' EQUITY ($M)</t>
        </is>
      </c>
      <c r="B36" s="169" t="inlineStr">
        <is>
          <t>n/a</t>
        </is>
      </c>
      <c r="C36" s="169" t="inlineStr">
        <is>
          <t>n/a</t>
        </is>
      </c>
      <c r="D36" s="170" t="inlineStr">
        <is>
          <t>n/a</t>
        </is>
      </c>
      <c r="E36" s="171">
        <f>SUM(E33:E35)</f>
        <v>56950</v>
      </c>
      <c r="F36" s="170" t="inlineStr">
        <is>
          <t>n/a</t>
        </is>
      </c>
      <c r="G36" s="170" t="inlineStr">
        <is>
          <t>n/a</t>
        </is>
      </c>
      <c r="H36" s="170" t="inlineStr">
        <is>
          <t>n/a</t>
        </is>
      </c>
      <c r="I36" s="171">
        <f>SUM(I33:I35)</f>
        <v>73733</v>
      </c>
      <c r="J36" s="170" t="inlineStr">
        <is>
          <t>n/a</t>
        </is>
      </c>
      <c r="K36" s="170" t="inlineStr">
        <is>
          <t>n/a</t>
        </is>
      </c>
      <c r="L36" s="171">
        <f>SUM(L33:L35)</f>
        <v>64842.5514648309</v>
      </c>
      <c r="M36" s="171">
        <f>SUM(M33:M35)</f>
        <v>70393.940868718</v>
      </c>
      <c r="N36" s="171">
        <f>SUM(N33:N35)</f>
        <v>69867.8819288429</v>
      </c>
      <c r="O36" s="171">
        <f>SUM(O33:O35)</f>
        <v>66350.865069327</v>
      </c>
      <c r="P36" s="171">
        <f>O36</f>
        <v>66350.865069327</v>
      </c>
      <c r="Q36" s="170" t="inlineStr">
        <is>
          <t>n/a</t>
        </is>
      </c>
      <c r="R36" s="129" t="n"/>
      <c r="S36" s="129" t="n"/>
      <c r="T36" s="171">
        <f>SUM(T33:T35)</f>
        <v>69754.3407509241</v>
      </c>
      <c r="U36" s="171">
        <f>SUM(U33:U35)</f>
        <v>69147.7052381878</v>
      </c>
      <c r="V36" s="171">
        <f>SUM(V33:V35)</f>
        <v>65471.0452165544</v>
      </c>
      <c r="W36" s="171">
        <f>V36</f>
        <v>65471.0452165544</v>
      </c>
      <c r="X36" s="129" t="n"/>
      <c r="Y36" s="170" t="inlineStr">
        <is>
          <t>n/a</t>
        </is>
      </c>
      <c r="Z36" s="129" t="n"/>
      <c r="AA36" s="129" t="n"/>
      <c r="AB36" s="171">
        <f>SUM(AB33:AB35)</f>
        <v>70496.542130031</v>
      </c>
      <c r="AC36" s="171">
        <f>SUM(AC33:AC35)</f>
        <v>67044.5563241869</v>
      </c>
      <c r="AD36" s="171">
        <f>AC36</f>
        <v>67044.5563241869</v>
      </c>
      <c r="AE36" s="129" t="n"/>
      <c r="AF36" s="171">
        <f>SUM(AF33:AF35)</f>
        <v>57326.0925228768</v>
      </c>
      <c r="AG36" s="171">
        <f>SUM(AG33:AG35)</f>
        <v>63101.643796208</v>
      </c>
      <c r="AH36" s="171">
        <f>SUM(AH33:AH35)</f>
        <v>62499.0213649198</v>
      </c>
      <c r="AI36" s="171">
        <f>SUM(AI33:AI35)</f>
        <v>58751.6169604564</v>
      </c>
      <c r="AJ36" s="171">
        <f>AI36</f>
        <v>58751.6169604564</v>
      </c>
      <c r="AK36" s="129" t="n"/>
    </row>
    <row r="37">
      <c r="A37" s="164" t="inlineStr">
        <is>
          <t>TOTAL LIABILITIES AND SHAREHOLDERS' EQUITY ($M)</t>
        </is>
      </c>
      <c r="B37" s="169" t="inlineStr">
        <is>
          <t>n/a</t>
        </is>
      </c>
      <c r="C37" s="169" t="inlineStr">
        <is>
          <t>n/a</t>
        </is>
      </c>
      <c r="D37" s="170" t="inlineStr">
        <is>
          <t>n/a</t>
        </is>
      </c>
      <c r="E37" s="171">
        <f>E31+E36</f>
        <v>364980</v>
      </c>
      <c r="F37" s="170" t="inlineStr">
        <is>
          <t>n/a</t>
        </is>
      </c>
      <c r="G37" s="170" t="inlineStr">
        <is>
          <t>n/a</t>
        </is>
      </c>
      <c r="H37" s="170" t="inlineStr">
        <is>
          <t>n/a</t>
        </is>
      </c>
      <c r="I37" s="171">
        <f>I31+I36</f>
        <v>359241</v>
      </c>
      <c r="J37" s="170" t="inlineStr">
        <is>
          <t>n/a</t>
        </is>
      </c>
      <c r="K37" s="170" t="inlineStr">
        <is>
          <t>n/a</t>
        </is>
      </c>
      <c r="L37" s="171">
        <f>L31+L36</f>
        <v>369311.777236859</v>
      </c>
      <c r="M37" s="171">
        <f>M31+M36</f>
        <v>353814.074678256</v>
      </c>
      <c r="N37" s="171">
        <f>N31+N36</f>
        <v>350951.046510246</v>
      </c>
      <c r="O37" s="171">
        <f>O31+O36</f>
        <v>353849.964825358</v>
      </c>
      <c r="P37" s="171">
        <f>O37</f>
        <v>353849.964825358</v>
      </c>
      <c r="Q37" s="170" t="inlineStr">
        <is>
          <t>n/a</t>
        </is>
      </c>
      <c r="R37" s="129" t="n"/>
      <c r="S37" s="129" t="n"/>
      <c r="T37" s="171">
        <f>T31+T36</f>
        <v>354815.323248961</v>
      </c>
      <c r="U37" s="171">
        <f>U31+U36</f>
        <v>351815.137540699</v>
      </c>
      <c r="V37" s="171">
        <f>V31+V36</f>
        <v>354709.750562299</v>
      </c>
      <c r="W37" s="171">
        <f>V37</f>
        <v>354709.750562299</v>
      </c>
      <c r="X37" s="129" t="n"/>
      <c r="Y37" s="170" t="inlineStr">
        <is>
          <t>n/a</t>
        </is>
      </c>
      <c r="Z37" s="129" t="n"/>
      <c r="AA37" s="129" t="n"/>
      <c r="AB37" s="171">
        <f>AB31+AB36</f>
        <v>352276.3089989</v>
      </c>
      <c r="AC37" s="171">
        <f>AC31+AC36</f>
        <v>355308.560406007</v>
      </c>
      <c r="AD37" s="171">
        <f>AC37</f>
        <v>355308.560406007</v>
      </c>
      <c r="AE37" s="129" t="n"/>
      <c r="AF37" s="171">
        <f>AF31+AF36</f>
        <v>367470.584857196</v>
      </c>
      <c r="AG37" s="171">
        <f>AG31+AG36</f>
        <v>350852.104298733</v>
      </c>
      <c r="AH37" s="171">
        <f>AH31+AH36</f>
        <v>347763.191086918</v>
      </c>
      <c r="AI37" s="171">
        <f>AI31+AI36</f>
        <v>350841.670515705</v>
      </c>
      <c r="AJ37" s="171">
        <f>AI37</f>
        <v>350841.670515705</v>
      </c>
      <c r="AK37" s="129" t="n"/>
    </row>
    <row r="38">
      <c r="A38" s="129" t="n"/>
      <c r="B38" s="129" t="n"/>
      <c r="C38" s="129" t="n"/>
      <c r="D38" s="129" t="n"/>
      <c r="E38" s="129" t="n"/>
      <c r="F38" s="129" t="n"/>
      <c r="G38" s="129" t="n"/>
      <c r="H38" s="129" t="n"/>
      <c r="I38" s="129" t="n"/>
      <c r="J38" s="129" t="n"/>
      <c r="K38" s="129" t="n"/>
      <c r="L38" s="129" t="n"/>
      <c r="M38" s="129" t="n"/>
      <c r="N38" s="129" t="n"/>
      <c r="O38" s="129" t="n"/>
      <c r="P38" s="129" t="n"/>
      <c r="Q38" s="129" t="n"/>
      <c r="R38" s="129" t="n"/>
      <c r="S38" s="129" t="n"/>
      <c r="T38" s="129" t="n"/>
      <c r="U38" s="129" t="n"/>
      <c r="V38" s="129" t="n"/>
      <c r="W38" s="129" t="n"/>
      <c r="X38" s="129" t="n"/>
      <c r="Y38" s="129" t="n"/>
      <c r="Z38" s="129" t="n"/>
      <c r="AA38" s="129" t="n"/>
      <c r="AB38" s="129" t="n"/>
      <c r="AC38" s="129" t="n"/>
      <c r="AD38" s="129" t="n"/>
      <c r="AE38" s="129" t="n"/>
      <c r="AF38" s="129" t="n"/>
      <c r="AG38" s="129" t="n"/>
      <c r="AH38" s="129" t="n"/>
      <c r="AI38" s="129" t="n"/>
      <c r="AJ38" s="129" t="n"/>
      <c r="AK38" s="129" t="n"/>
    </row>
    <row r="39">
      <c r="A39" s="178" t="inlineStr">
        <is>
          <t>BALANCE CHECK: Total Assets - Total Liabilities - Total Equity ($M)  [must = 0]</t>
        </is>
      </c>
      <c r="B39" s="169" t="inlineStr">
        <is>
          <t>n/a</t>
        </is>
      </c>
      <c r="C39" s="169" t="inlineStr">
        <is>
          <t>n/a</t>
        </is>
      </c>
      <c r="D39" s="170" t="inlineStr">
        <is>
          <t>n/a</t>
        </is>
      </c>
      <c r="E39" s="171">
        <f>E20-E31-E36</f>
        <v>0</v>
      </c>
      <c r="F39" s="170" t="inlineStr">
        <is>
          <t>n/a</t>
        </is>
      </c>
      <c r="G39" s="170" t="inlineStr">
        <is>
          <t>n/a</t>
        </is>
      </c>
      <c r="H39" s="170" t="inlineStr">
        <is>
          <t>n/a</t>
        </is>
      </c>
      <c r="I39" s="171">
        <f>I20-I31-I36</f>
        <v>0</v>
      </c>
      <c r="J39" s="170" t="inlineStr">
        <is>
          <t>n/a</t>
        </is>
      </c>
      <c r="K39" s="170" t="inlineStr">
        <is>
          <t>n/a</t>
        </is>
      </c>
      <c r="L39" s="171">
        <f>L20-L31-L36</f>
        <v>-5.0931703299284e-11</v>
      </c>
      <c r="M39" s="171">
        <f>M20-M31-M36</f>
        <v>0</v>
      </c>
      <c r="N39" s="171">
        <f>N20-N31-N36</f>
        <v>-5.82076609134674e-11</v>
      </c>
      <c r="O39" s="171">
        <f>O20-O31-O36</f>
        <v>1.45519152283669e-11</v>
      </c>
      <c r="P39" s="171">
        <f>O39</f>
        <v>1.45519152283669e-11</v>
      </c>
      <c r="Q39" s="170" t="inlineStr">
        <is>
          <t>n/a</t>
        </is>
      </c>
      <c r="R39" s="129" t="n"/>
      <c r="S39" s="129" t="n"/>
      <c r="T39" s="171">
        <f>T20-T31-T36</f>
        <v>-1.45519152283669e-11</v>
      </c>
      <c r="U39" s="171">
        <f>U20-U31-U36</f>
        <v>-4.36557456851006e-11</v>
      </c>
      <c r="V39" s="171">
        <f>V20-V31-V36</f>
        <v>-4.36557456851006e-11</v>
      </c>
      <c r="W39" s="171">
        <f>V39</f>
        <v>-4.36557456851006e-11</v>
      </c>
      <c r="X39" s="129" t="n"/>
      <c r="Y39" s="170" t="inlineStr">
        <is>
          <t>n/a</t>
        </is>
      </c>
      <c r="Z39" s="129" t="n"/>
      <c r="AA39" s="129" t="n"/>
      <c r="AB39" s="171">
        <f>AB20-AB31-AB36</f>
        <v>0</v>
      </c>
      <c r="AC39" s="171">
        <f>AC20-AC31-AC36</f>
        <v>0</v>
      </c>
      <c r="AD39" s="171">
        <f>AC39</f>
        <v>0</v>
      </c>
      <c r="AE39" s="129" t="n"/>
      <c r="AF39" s="171">
        <f>AF20-AF31-AF36</f>
        <v>-1.45519152283669e-11</v>
      </c>
      <c r="AG39" s="171">
        <f>AG20-AG31-AG36</f>
        <v>-1.45519152283669e-11</v>
      </c>
      <c r="AH39" s="171">
        <f>AH20-AH31-AH36</f>
        <v>1.45519152283669e-11</v>
      </c>
      <c r="AI39" s="171">
        <f>AI20-AI31-AI36</f>
        <v>-4.36557456851006e-11</v>
      </c>
      <c r="AJ39" s="171">
        <f>AI39</f>
        <v>-4.36557456851006e-11</v>
      </c>
      <c r="AK39" s="129" t="n"/>
    </row>
    <row r="40">
      <c r="A40" s="129" t="n"/>
      <c r="B40" s="129" t="n"/>
      <c r="C40" s="129" t="n"/>
      <c r="D40" s="129" t="n"/>
      <c r="E40" s="129" t="n"/>
      <c r="F40" s="129" t="n"/>
      <c r="G40" s="129" t="n"/>
      <c r="H40" s="129" t="n"/>
      <c r="I40" s="129" t="n"/>
      <c r="J40" s="129" t="n"/>
      <c r="K40" s="129" t="n"/>
      <c r="L40" s="129" t="n"/>
      <c r="M40" s="129" t="n"/>
      <c r="N40" s="129" t="n"/>
      <c r="O40" s="129" t="n"/>
      <c r="P40" s="129" t="n"/>
      <c r="Q40" s="129" t="n"/>
      <c r="R40" s="129" t="n"/>
      <c r="S40" s="129" t="n"/>
      <c r="T40" s="129" t="n"/>
      <c r="U40" s="129" t="n"/>
      <c r="V40" s="129" t="n"/>
      <c r="W40" s="129" t="n"/>
      <c r="X40" s="129" t="n"/>
      <c r="Y40" s="129" t="n"/>
      <c r="Z40" s="129" t="n"/>
      <c r="AA40" s="129" t="n"/>
      <c r="AB40" s="129" t="n"/>
      <c r="AC40" s="129" t="n"/>
      <c r="AD40" s="129" t="n"/>
      <c r="AE40" s="129" t="n"/>
      <c r="AF40" s="129" t="n"/>
      <c r="AG40" s="129" t="n"/>
      <c r="AH40" s="129" t="n"/>
      <c r="AI40" s="129" t="n"/>
      <c r="AJ40" s="129" t="n"/>
      <c r="AK40" s="129" t="n"/>
    </row>
    <row r="41" ht="16" customHeight="1">
      <c r="A41" s="138" t="inlineStr">
        <is>
          <t>PER-LINE-ITEM TREATMENT (Step 1 of the task brief -- every non-driver-modeled line item's simplifying choice, documented, never invented/blank)</t>
        </is>
      </c>
      <c r="B41" s="218" t="n"/>
      <c r="C41" s="218" t="n"/>
      <c r="D41" s="218" t="n"/>
      <c r="E41" s="218" t="n"/>
      <c r="F41" s="218" t="n"/>
      <c r="G41" s="218" t="n"/>
      <c r="H41" s="218" t="n"/>
      <c r="I41" s="218" t="n"/>
      <c r="J41" s="218" t="n"/>
      <c r="K41" s="218" t="n"/>
      <c r="L41" s="218" t="n"/>
      <c r="M41" s="218" t="n"/>
      <c r="N41" s="218" t="n"/>
      <c r="O41" s="218" t="n"/>
      <c r="P41" s="218" t="n"/>
      <c r="Q41" s="218" t="n"/>
      <c r="R41" s="218" t="n"/>
      <c r="S41" s="218" t="n"/>
      <c r="T41" s="218" t="n"/>
      <c r="U41" s="218" t="n"/>
      <c r="V41" s="218" t="n"/>
      <c r="W41" s="218" t="n"/>
      <c r="X41" s="218" t="n"/>
      <c r="Y41" s="218" t="n"/>
      <c r="Z41" s="218" t="n"/>
      <c r="AA41" s="218" t="n"/>
      <c r="AB41" s="218" t="n"/>
      <c r="AC41" s="218" t="n"/>
      <c r="AD41" s="218" t="n"/>
      <c r="AE41" s="218" t="n"/>
      <c r="AF41" s="218" t="n"/>
      <c r="AG41" s="218" t="n"/>
      <c r="AH41" s="218" t="n"/>
      <c r="AI41" s="218" t="n"/>
      <c r="AJ41" s="218" t="n"/>
      <c r="AK41" s="219" t="n"/>
    </row>
    <row r="42">
      <c r="A42" s="137" t="inlineStr">
        <is>
          <t>Line Item</t>
        </is>
      </c>
      <c r="B42" s="137" t="inlineStr">
        <is>
          <t>Treatment</t>
        </is>
      </c>
      <c r="C42" s="137" t="inlineStr">
        <is>
          <t>Formula basis / rationale</t>
        </is>
      </c>
      <c r="D42" s="218" t="n"/>
      <c r="E42" s="218" t="n"/>
      <c r="F42" s="218" t="n"/>
      <c r="G42" s="218" t="n"/>
      <c r="H42" s="218" t="n"/>
      <c r="I42" s="218" t="n"/>
      <c r="J42" s="218" t="n"/>
      <c r="K42" s="218" t="n"/>
      <c r="L42" s="218" t="n"/>
      <c r="M42" s="218" t="n"/>
      <c r="N42" s="218" t="n"/>
      <c r="O42" s="218" t="n"/>
      <c r="P42" s="218" t="n"/>
      <c r="Q42" s="218" t="n"/>
      <c r="R42" s="218" t="n"/>
      <c r="S42" s="218" t="n"/>
      <c r="T42" s="218" t="n"/>
      <c r="U42" s="218" t="n"/>
      <c r="V42" s="218" t="n"/>
      <c r="W42" s="218" t="n"/>
      <c r="X42" s="218" t="n"/>
      <c r="Y42" s="218" t="n"/>
      <c r="Z42" s="218" t="n"/>
      <c r="AA42" s="218" t="n"/>
      <c r="AB42" s="218" t="n"/>
      <c r="AC42" s="218" t="n"/>
      <c r="AD42" s="218" t="n"/>
      <c r="AE42" s="218" t="n"/>
      <c r="AF42" s="218" t="n"/>
      <c r="AG42" s="218" t="n"/>
      <c r="AH42" s="218" t="n"/>
      <c r="AI42" s="218" t="n"/>
      <c r="AJ42" s="218" t="n"/>
      <c r="AK42" s="219" t="n"/>
    </row>
    <row r="43" ht="30" customHeight="1">
      <c r="A43" s="127" t="inlineStr">
        <is>
          <t>Cash and cash equivalents ($M)</t>
        </is>
      </c>
      <c r="B43" s="179" t="inlineStr">
        <is>
          <t>Driven</t>
        </is>
      </c>
      <c r="C43" s="154" t="inlineStr">
        <is>
          <t>Formula:CF tab's own computed ending-cash balance for this column (genuinely computed, never an independent plug -- see CF tab row 'Cash, end of period').</t>
        </is>
      </c>
      <c r="D43" s="218" t="n"/>
      <c r="E43" s="218" t="n"/>
      <c r="F43" s="218" t="n"/>
      <c r="G43" s="218" t="n"/>
      <c r="H43" s="218" t="n"/>
      <c r="I43" s="218" t="n"/>
      <c r="J43" s="218" t="n"/>
      <c r="K43" s="218" t="n"/>
      <c r="L43" s="218" t="n"/>
      <c r="M43" s="218" t="n"/>
      <c r="N43" s="218" t="n"/>
      <c r="O43" s="218" t="n"/>
      <c r="P43" s="218" t="n"/>
      <c r="Q43" s="218" t="n"/>
      <c r="R43" s="218" t="n"/>
      <c r="S43" s="218" t="n"/>
      <c r="T43" s="218" t="n"/>
      <c r="U43" s="218" t="n"/>
      <c r="V43" s="218" t="n"/>
      <c r="W43" s="218" t="n"/>
      <c r="X43" s="218" t="n"/>
      <c r="Y43" s="218" t="n"/>
      <c r="Z43" s="218" t="n"/>
      <c r="AA43" s="218" t="n"/>
      <c r="AB43" s="218" t="n"/>
      <c r="AC43" s="218" t="n"/>
      <c r="AD43" s="218" t="n"/>
      <c r="AE43" s="218" t="n"/>
      <c r="AF43" s="218" t="n"/>
      <c r="AG43" s="218" t="n"/>
      <c r="AH43" s="218" t="n"/>
      <c r="AI43" s="218" t="n"/>
      <c r="AJ43" s="218" t="n"/>
      <c r="AK43" s="219" t="n"/>
    </row>
    <row r="44" ht="30" customHeight="1">
      <c r="A44" s="127" t="inlineStr">
        <is>
          <t>Marketable securities - current ($M)</t>
        </is>
      </c>
      <c r="B44" s="179" t="inlineStr">
        <is>
          <t>Hold flat</t>
        </is>
      </c>
      <c r="C44" s="154" t="inlineStr">
        <is>
          <t>Formula:FY25 Q4 anchor (col I), held flat. No investment-portfolio driver exists on the Drivers tab; holding flat also guarantees this line contributes zero delta to the balance-sheet identity without requiring a new, un-briefed Cash Flow Statement line. (Proved algebraically before writing any code: an asset-side-only revenue-scaled delta with no offsetting CF line breaks Total Assets = Total Liabilities + Equity by exactly that delta every forecast period -- this is why every non-Driver-linked line on this tab is held flat rather than grown with revenue.)</t>
        </is>
      </c>
      <c r="D44" s="218" t="n"/>
      <c r="E44" s="218" t="n"/>
      <c r="F44" s="218" t="n"/>
      <c r="G44" s="218" t="n"/>
      <c r="H44" s="218" t="n"/>
      <c r="I44" s="218" t="n"/>
      <c r="J44" s="218" t="n"/>
      <c r="K44" s="218" t="n"/>
      <c r="L44" s="218" t="n"/>
      <c r="M44" s="218" t="n"/>
      <c r="N44" s="218" t="n"/>
      <c r="O44" s="218" t="n"/>
      <c r="P44" s="218" t="n"/>
      <c r="Q44" s="218" t="n"/>
      <c r="R44" s="218" t="n"/>
      <c r="S44" s="218" t="n"/>
      <c r="T44" s="218" t="n"/>
      <c r="U44" s="218" t="n"/>
      <c r="V44" s="218" t="n"/>
      <c r="W44" s="218" t="n"/>
      <c r="X44" s="218" t="n"/>
      <c r="Y44" s="218" t="n"/>
      <c r="Z44" s="218" t="n"/>
      <c r="AA44" s="218" t="n"/>
      <c r="AB44" s="218" t="n"/>
      <c r="AC44" s="218" t="n"/>
      <c r="AD44" s="218" t="n"/>
      <c r="AE44" s="218" t="n"/>
      <c r="AF44" s="218" t="n"/>
      <c r="AG44" s="218" t="n"/>
      <c r="AH44" s="218" t="n"/>
      <c r="AI44" s="218" t="n"/>
      <c r="AJ44" s="218" t="n"/>
      <c r="AK44" s="219" t="n"/>
    </row>
    <row r="45" ht="30" customHeight="1">
      <c r="A45" s="127" t="inlineStr">
        <is>
          <t>Accounts receivable, net ($M)</t>
        </is>
      </c>
      <c r="B45" s="179" t="inlineStr">
        <is>
          <t>Driven (DSO)</t>
        </is>
      </c>
      <c r="C45" s="154" t="inlineStr">
        <is>
          <t>Formula:DSO_Active x (IS!Net Sales / 90).</t>
        </is>
      </c>
      <c r="D45" s="218" t="n"/>
      <c r="E45" s="218" t="n"/>
      <c r="F45" s="218" t="n"/>
      <c r="G45" s="218" t="n"/>
      <c r="H45" s="218" t="n"/>
      <c r="I45" s="218" t="n"/>
      <c r="J45" s="218" t="n"/>
      <c r="K45" s="218" t="n"/>
      <c r="L45" s="218" t="n"/>
      <c r="M45" s="218" t="n"/>
      <c r="N45" s="218" t="n"/>
      <c r="O45" s="218" t="n"/>
      <c r="P45" s="218" t="n"/>
      <c r="Q45" s="218" t="n"/>
      <c r="R45" s="218" t="n"/>
      <c r="S45" s="218" t="n"/>
      <c r="T45" s="218" t="n"/>
      <c r="U45" s="218" t="n"/>
      <c r="V45" s="218" t="n"/>
      <c r="W45" s="218" t="n"/>
      <c r="X45" s="218" t="n"/>
      <c r="Y45" s="218" t="n"/>
      <c r="Z45" s="218" t="n"/>
      <c r="AA45" s="218" t="n"/>
      <c r="AB45" s="218" t="n"/>
      <c r="AC45" s="218" t="n"/>
      <c r="AD45" s="218" t="n"/>
      <c r="AE45" s="218" t="n"/>
      <c r="AF45" s="218" t="n"/>
      <c r="AG45" s="218" t="n"/>
      <c r="AH45" s="218" t="n"/>
      <c r="AI45" s="218" t="n"/>
      <c r="AJ45" s="218" t="n"/>
      <c r="AK45" s="219" t="n"/>
    </row>
    <row r="46" ht="30" customHeight="1">
      <c r="A46" s="127" t="inlineStr">
        <is>
          <t>Vendor non-trade receivables ($M)</t>
        </is>
      </c>
      <c r="B46" s="179" t="inlineStr">
        <is>
          <t>Hold flat</t>
        </is>
      </c>
      <c r="C46" s="154" t="inlineStr">
        <is>
          <t>Formula:FY25 Q4 anchor (col I), held flat. A revenue-scaled growth treatment was considered and rejected: unless paired with a corresponding new Cash Flow Statement line (which the brief does not specify), an asset-side-only revenue-scaled delta breaks Total Assets = Total Liabilities + Equity -- proved algebraically before writing any code (same reasoning as Marketable securities - current, above).</t>
        </is>
      </c>
      <c r="D46" s="218" t="n"/>
      <c r="E46" s="218" t="n"/>
      <c r="F46" s="218" t="n"/>
      <c r="G46" s="218" t="n"/>
      <c r="H46" s="218" t="n"/>
      <c r="I46" s="218" t="n"/>
      <c r="J46" s="218" t="n"/>
      <c r="K46" s="218" t="n"/>
      <c r="L46" s="218" t="n"/>
      <c r="M46" s="218" t="n"/>
      <c r="N46" s="218" t="n"/>
      <c r="O46" s="218" t="n"/>
      <c r="P46" s="218" t="n"/>
      <c r="Q46" s="218" t="n"/>
      <c r="R46" s="218" t="n"/>
      <c r="S46" s="218" t="n"/>
      <c r="T46" s="218" t="n"/>
      <c r="U46" s="218" t="n"/>
      <c r="V46" s="218" t="n"/>
      <c r="W46" s="218" t="n"/>
      <c r="X46" s="218" t="n"/>
      <c r="Y46" s="218" t="n"/>
      <c r="Z46" s="218" t="n"/>
      <c r="AA46" s="218" t="n"/>
      <c r="AB46" s="218" t="n"/>
      <c r="AC46" s="218" t="n"/>
      <c r="AD46" s="218" t="n"/>
      <c r="AE46" s="218" t="n"/>
      <c r="AF46" s="218" t="n"/>
      <c r="AG46" s="218" t="n"/>
      <c r="AH46" s="218" t="n"/>
      <c r="AI46" s="218" t="n"/>
      <c r="AJ46" s="218" t="n"/>
      <c r="AK46" s="219" t="n"/>
    </row>
    <row r="47" ht="30" customHeight="1">
      <c r="A47" s="127" t="inlineStr">
        <is>
          <t>Inventories ($M)</t>
        </is>
      </c>
      <c r="B47" s="179" t="inlineStr">
        <is>
          <t>Driven (DIO)</t>
        </is>
      </c>
      <c r="C47" s="154" t="inlineStr">
        <is>
          <t>Formula:DIO_Active x (IS!COGS / 90).</t>
        </is>
      </c>
      <c r="D47" s="218" t="n"/>
      <c r="E47" s="218" t="n"/>
      <c r="F47" s="218" t="n"/>
      <c r="G47" s="218" t="n"/>
      <c r="H47" s="218" t="n"/>
      <c r="I47" s="218" t="n"/>
      <c r="J47" s="218" t="n"/>
      <c r="K47" s="218" t="n"/>
      <c r="L47" s="218" t="n"/>
      <c r="M47" s="218" t="n"/>
      <c r="N47" s="218" t="n"/>
      <c r="O47" s="218" t="n"/>
      <c r="P47" s="218" t="n"/>
      <c r="Q47" s="218" t="n"/>
      <c r="R47" s="218" t="n"/>
      <c r="S47" s="218" t="n"/>
      <c r="T47" s="218" t="n"/>
      <c r="U47" s="218" t="n"/>
      <c r="V47" s="218" t="n"/>
      <c r="W47" s="218" t="n"/>
      <c r="X47" s="218" t="n"/>
      <c r="Y47" s="218" t="n"/>
      <c r="Z47" s="218" t="n"/>
      <c r="AA47" s="218" t="n"/>
      <c r="AB47" s="218" t="n"/>
      <c r="AC47" s="218" t="n"/>
      <c r="AD47" s="218" t="n"/>
      <c r="AE47" s="218" t="n"/>
      <c r="AF47" s="218" t="n"/>
      <c r="AG47" s="218" t="n"/>
      <c r="AH47" s="218" t="n"/>
      <c r="AI47" s="218" t="n"/>
      <c r="AJ47" s="218" t="n"/>
      <c r="AK47" s="219" t="n"/>
    </row>
    <row r="48" ht="30" customHeight="1">
      <c r="A48" s="127" t="inlineStr">
        <is>
          <t>Other current assets ($M)</t>
        </is>
      </c>
      <c r="B48" s="179" t="inlineStr">
        <is>
          <t>Hold flat</t>
        </is>
      </c>
      <c r="C48" s="154" t="inlineStr">
        <is>
          <t>Formula:FY25 Q4 anchor (col I), held flat. No specific driver identified for this catch-all line; flat guarantees zero balance-sheet-identity impact.</t>
        </is>
      </c>
      <c r="D48" s="218" t="n"/>
      <c r="E48" s="218" t="n"/>
      <c r="F48" s="218" t="n"/>
      <c r="G48" s="218" t="n"/>
      <c r="H48" s="218" t="n"/>
      <c r="I48" s="218" t="n"/>
      <c r="J48" s="218" t="n"/>
      <c r="K48" s="218" t="n"/>
      <c r="L48" s="218" t="n"/>
      <c r="M48" s="218" t="n"/>
      <c r="N48" s="218" t="n"/>
      <c r="O48" s="218" t="n"/>
      <c r="P48" s="218" t="n"/>
      <c r="Q48" s="218" t="n"/>
      <c r="R48" s="218" t="n"/>
      <c r="S48" s="218" t="n"/>
      <c r="T48" s="218" t="n"/>
      <c r="U48" s="218" t="n"/>
      <c r="V48" s="218" t="n"/>
      <c r="W48" s="218" t="n"/>
      <c r="X48" s="218" t="n"/>
      <c r="Y48" s="218" t="n"/>
      <c r="Z48" s="218" t="n"/>
      <c r="AA48" s="218" t="n"/>
      <c r="AB48" s="218" t="n"/>
      <c r="AC48" s="218" t="n"/>
      <c r="AD48" s="218" t="n"/>
      <c r="AE48" s="218" t="n"/>
      <c r="AF48" s="218" t="n"/>
      <c r="AG48" s="218" t="n"/>
      <c r="AH48" s="218" t="n"/>
      <c r="AI48" s="218" t="n"/>
      <c r="AJ48" s="218" t="n"/>
      <c r="AK48" s="219" t="n"/>
    </row>
    <row r="49" ht="30" customHeight="1">
      <c r="A49" s="127" t="inlineStr">
        <is>
          <t>Marketable securities - non-current ($M)</t>
        </is>
      </c>
      <c r="B49" s="179" t="inlineStr">
        <is>
          <t>Hold flat</t>
        </is>
      </c>
      <c r="C49" s="154" t="inlineStr">
        <is>
          <t>Formula:FY25 Q4 anchor (col I), held flat. Same rationale as current marketable securities.</t>
        </is>
      </c>
      <c r="D49" s="218" t="n"/>
      <c r="E49" s="218" t="n"/>
      <c r="F49" s="218" t="n"/>
      <c r="G49" s="218" t="n"/>
      <c r="H49" s="218" t="n"/>
      <c r="I49" s="218" t="n"/>
      <c r="J49" s="218" t="n"/>
      <c r="K49" s="218" t="n"/>
      <c r="L49" s="218" t="n"/>
      <c r="M49" s="218" t="n"/>
      <c r="N49" s="218" t="n"/>
      <c r="O49" s="218" t="n"/>
      <c r="P49" s="218" t="n"/>
      <c r="Q49" s="218" t="n"/>
      <c r="R49" s="218" t="n"/>
      <c r="S49" s="218" t="n"/>
      <c r="T49" s="218" t="n"/>
      <c r="U49" s="218" t="n"/>
      <c r="V49" s="218" t="n"/>
      <c r="W49" s="218" t="n"/>
      <c r="X49" s="218" t="n"/>
      <c r="Y49" s="218" t="n"/>
      <c r="Z49" s="218" t="n"/>
      <c r="AA49" s="218" t="n"/>
      <c r="AB49" s="218" t="n"/>
      <c r="AC49" s="218" t="n"/>
      <c r="AD49" s="218" t="n"/>
      <c r="AE49" s="218" t="n"/>
      <c r="AF49" s="218" t="n"/>
      <c r="AG49" s="218" t="n"/>
      <c r="AH49" s="218" t="n"/>
      <c r="AI49" s="218" t="n"/>
      <c r="AJ49" s="218" t="n"/>
      <c r="AK49" s="219" t="n"/>
    </row>
    <row r="50" ht="30" customHeight="1">
      <c r="A50" s="127" t="inlineStr">
        <is>
          <t>Property, plant and equipment, net ($M)</t>
        </is>
      </c>
      <c r="B50" s="179" t="inlineStr">
        <is>
          <t>Driven</t>
        </is>
      </c>
      <c r="C50" s="154" t="inlineStr">
        <is>
          <t>Formula:prior-period PP&amp;E + CapEx$ (CapEx_Pct_Rev_Active x Revenue, from CF tab) - D&amp;A$ (this tab's own D&amp;A% assumption x Revenue, from CF tab row 9 -- D&amp;A has no Drivers-tab named range, so this is a scenario-independent local assumption, documented on the CF tab).</t>
        </is>
      </c>
      <c r="D50" s="218" t="n"/>
      <c r="E50" s="218" t="n"/>
      <c r="F50" s="218" t="n"/>
      <c r="G50" s="218" t="n"/>
      <c r="H50" s="218" t="n"/>
      <c r="I50" s="218" t="n"/>
      <c r="J50" s="218" t="n"/>
      <c r="K50" s="218" t="n"/>
      <c r="L50" s="218" t="n"/>
      <c r="M50" s="218" t="n"/>
      <c r="N50" s="218" t="n"/>
      <c r="O50" s="218" t="n"/>
      <c r="P50" s="218" t="n"/>
      <c r="Q50" s="218" t="n"/>
      <c r="R50" s="218" t="n"/>
      <c r="S50" s="218" t="n"/>
      <c r="T50" s="218" t="n"/>
      <c r="U50" s="218" t="n"/>
      <c r="V50" s="218" t="n"/>
      <c r="W50" s="218" t="n"/>
      <c r="X50" s="218" t="n"/>
      <c r="Y50" s="218" t="n"/>
      <c r="Z50" s="218" t="n"/>
      <c r="AA50" s="218" t="n"/>
      <c r="AB50" s="218" t="n"/>
      <c r="AC50" s="218" t="n"/>
      <c r="AD50" s="218" t="n"/>
      <c r="AE50" s="218" t="n"/>
      <c r="AF50" s="218" t="n"/>
      <c r="AG50" s="218" t="n"/>
      <c r="AH50" s="218" t="n"/>
      <c r="AI50" s="218" t="n"/>
      <c r="AJ50" s="218" t="n"/>
      <c r="AK50" s="219" t="n"/>
    </row>
    <row r="51" ht="30" customHeight="1">
      <c r="A51" s="127" t="inlineStr">
        <is>
          <t>Other non-current assets ($M)</t>
        </is>
      </c>
      <c r="B51" s="179" t="inlineStr">
        <is>
          <t>Hold flat</t>
        </is>
      </c>
      <c r="C51" s="154" t="inlineStr">
        <is>
          <t>Formula:FY25 Q4 anchor (col I), held flat. No specific driver identified for this catch-all line.</t>
        </is>
      </c>
      <c r="D51" s="218" t="n"/>
      <c r="E51" s="218" t="n"/>
      <c r="F51" s="218" t="n"/>
      <c r="G51" s="218" t="n"/>
      <c r="H51" s="218" t="n"/>
      <c r="I51" s="218" t="n"/>
      <c r="J51" s="218" t="n"/>
      <c r="K51" s="218" t="n"/>
      <c r="L51" s="218" t="n"/>
      <c r="M51" s="218" t="n"/>
      <c r="N51" s="218" t="n"/>
      <c r="O51" s="218" t="n"/>
      <c r="P51" s="218" t="n"/>
      <c r="Q51" s="218" t="n"/>
      <c r="R51" s="218" t="n"/>
      <c r="S51" s="218" t="n"/>
      <c r="T51" s="218" t="n"/>
      <c r="U51" s="218" t="n"/>
      <c r="V51" s="218" t="n"/>
      <c r="W51" s="218" t="n"/>
      <c r="X51" s="218" t="n"/>
      <c r="Y51" s="218" t="n"/>
      <c r="Z51" s="218" t="n"/>
      <c r="AA51" s="218" t="n"/>
      <c r="AB51" s="218" t="n"/>
      <c r="AC51" s="218" t="n"/>
      <c r="AD51" s="218" t="n"/>
      <c r="AE51" s="218" t="n"/>
      <c r="AF51" s="218" t="n"/>
      <c r="AG51" s="218" t="n"/>
      <c r="AH51" s="218" t="n"/>
      <c r="AI51" s="218" t="n"/>
      <c r="AJ51" s="218" t="n"/>
      <c r="AK51" s="219" t="n"/>
    </row>
    <row r="52" ht="30" customHeight="1">
      <c r="A52" s="127" t="inlineStr">
        <is>
          <t>Accounts payable ($M)</t>
        </is>
      </c>
      <c r="B52" s="179" t="inlineStr">
        <is>
          <t>Driven (DPO)</t>
        </is>
      </c>
      <c r="C52" s="154" t="inlineStr">
        <is>
          <t>Formula:DPO_Active x (IS!COGS / 90).</t>
        </is>
      </c>
      <c r="D52" s="218" t="n"/>
      <c r="E52" s="218" t="n"/>
      <c r="F52" s="218" t="n"/>
      <c r="G52" s="218" t="n"/>
      <c r="H52" s="218" t="n"/>
      <c r="I52" s="218" t="n"/>
      <c r="J52" s="218" t="n"/>
      <c r="K52" s="218" t="n"/>
      <c r="L52" s="218" t="n"/>
      <c r="M52" s="218" t="n"/>
      <c r="N52" s="218" t="n"/>
      <c r="O52" s="218" t="n"/>
      <c r="P52" s="218" t="n"/>
      <c r="Q52" s="218" t="n"/>
      <c r="R52" s="218" t="n"/>
      <c r="S52" s="218" t="n"/>
      <c r="T52" s="218" t="n"/>
      <c r="U52" s="218" t="n"/>
      <c r="V52" s="218" t="n"/>
      <c r="W52" s="218" t="n"/>
      <c r="X52" s="218" t="n"/>
      <c r="Y52" s="218" t="n"/>
      <c r="Z52" s="218" t="n"/>
      <c r="AA52" s="218" t="n"/>
      <c r="AB52" s="218" t="n"/>
      <c r="AC52" s="218" t="n"/>
      <c r="AD52" s="218" t="n"/>
      <c r="AE52" s="218" t="n"/>
      <c r="AF52" s="218" t="n"/>
      <c r="AG52" s="218" t="n"/>
      <c r="AH52" s="218" t="n"/>
      <c r="AI52" s="218" t="n"/>
      <c r="AJ52" s="218" t="n"/>
      <c r="AK52" s="219" t="n"/>
    </row>
    <row r="53" ht="30" customHeight="1">
      <c r="A53" s="127" t="inlineStr">
        <is>
          <t>Other current liabilities ($M)</t>
        </is>
      </c>
      <c r="B53" s="179" t="inlineStr">
        <is>
          <t>Hold flat</t>
        </is>
      </c>
      <c r="C53" s="154" t="inlineStr">
        <is>
          <t>Formula:FY25 Q4 anchor (col I), held flat. No specific driver identified for this catch-all line.</t>
        </is>
      </c>
      <c r="D53" s="218" t="n"/>
      <c r="E53" s="218" t="n"/>
      <c r="F53" s="218" t="n"/>
      <c r="G53" s="218" t="n"/>
      <c r="H53" s="218" t="n"/>
      <c r="I53" s="218" t="n"/>
      <c r="J53" s="218" t="n"/>
      <c r="K53" s="218" t="n"/>
      <c r="L53" s="218" t="n"/>
      <c r="M53" s="218" t="n"/>
      <c r="N53" s="218" t="n"/>
      <c r="O53" s="218" t="n"/>
      <c r="P53" s="218" t="n"/>
      <c r="Q53" s="218" t="n"/>
      <c r="R53" s="218" t="n"/>
      <c r="S53" s="218" t="n"/>
      <c r="T53" s="218" t="n"/>
      <c r="U53" s="218" t="n"/>
      <c r="V53" s="218" t="n"/>
      <c r="W53" s="218" t="n"/>
      <c r="X53" s="218" t="n"/>
      <c r="Y53" s="218" t="n"/>
      <c r="Z53" s="218" t="n"/>
      <c r="AA53" s="218" t="n"/>
      <c r="AB53" s="218" t="n"/>
      <c r="AC53" s="218" t="n"/>
      <c r="AD53" s="218" t="n"/>
      <c r="AE53" s="218" t="n"/>
      <c r="AF53" s="218" t="n"/>
      <c r="AG53" s="218" t="n"/>
      <c r="AH53" s="218" t="n"/>
      <c r="AI53" s="218" t="n"/>
      <c r="AJ53" s="218" t="n"/>
      <c r="AK53" s="219" t="n"/>
    </row>
    <row r="54" ht="30" customHeight="1">
      <c r="A54" s="127" t="inlineStr">
        <is>
          <t>Deferred revenue ($M)</t>
        </is>
      </c>
      <c r="B54" s="179" t="inlineStr">
        <is>
          <t>Hold flat</t>
        </is>
      </c>
      <c r="C54" s="154" t="inlineStr">
        <is>
          <t>Formula:FY25 Q4 anchor (col I), held flat. Same rationale as Vendor non-trade receivables above -- a liability-side-only revenue-scaled delta with no offsetting Cash Flow Statement line would break the balance-sheet identity just as surely as the asset-side version would.</t>
        </is>
      </c>
      <c r="D54" s="218" t="n"/>
      <c r="E54" s="218" t="n"/>
      <c r="F54" s="218" t="n"/>
      <c r="G54" s="218" t="n"/>
      <c r="H54" s="218" t="n"/>
      <c r="I54" s="218" t="n"/>
      <c r="J54" s="218" t="n"/>
      <c r="K54" s="218" t="n"/>
      <c r="L54" s="218" t="n"/>
      <c r="M54" s="218" t="n"/>
      <c r="N54" s="218" t="n"/>
      <c r="O54" s="218" t="n"/>
      <c r="P54" s="218" t="n"/>
      <c r="Q54" s="218" t="n"/>
      <c r="R54" s="218" t="n"/>
      <c r="S54" s="218" t="n"/>
      <c r="T54" s="218" t="n"/>
      <c r="U54" s="218" t="n"/>
      <c r="V54" s="218" t="n"/>
      <c r="W54" s="218" t="n"/>
      <c r="X54" s="218" t="n"/>
      <c r="Y54" s="218" t="n"/>
      <c r="Z54" s="218" t="n"/>
      <c r="AA54" s="218" t="n"/>
      <c r="AB54" s="218" t="n"/>
      <c r="AC54" s="218" t="n"/>
      <c r="AD54" s="218" t="n"/>
      <c r="AE54" s="218" t="n"/>
      <c r="AF54" s="218" t="n"/>
      <c r="AG54" s="218" t="n"/>
      <c r="AH54" s="218" t="n"/>
      <c r="AI54" s="218" t="n"/>
      <c r="AJ54" s="218" t="n"/>
      <c r="AK54" s="219" t="n"/>
    </row>
    <row r="55" ht="30" customHeight="1">
      <c r="A55" s="127" t="inlineStr">
        <is>
          <t>Commercial paper ($M)</t>
        </is>
      </c>
      <c r="B55" s="179" t="inlineStr">
        <is>
          <t>Hold flat</t>
        </is>
      </c>
      <c r="C55" s="154" t="inlineStr">
        <is>
          <t>Formula:FY25 Q4 anchor (col I), held flat. Short-term financing not modeled by a driver on the Drivers tab.</t>
        </is>
      </c>
      <c r="D55" s="218" t="n"/>
      <c r="E55" s="218" t="n"/>
      <c r="F55" s="218" t="n"/>
      <c r="G55" s="218" t="n"/>
      <c r="H55" s="218" t="n"/>
      <c r="I55" s="218" t="n"/>
      <c r="J55" s="218" t="n"/>
      <c r="K55" s="218" t="n"/>
      <c r="L55" s="218" t="n"/>
      <c r="M55" s="218" t="n"/>
      <c r="N55" s="218" t="n"/>
      <c r="O55" s="218" t="n"/>
      <c r="P55" s="218" t="n"/>
      <c r="Q55" s="218" t="n"/>
      <c r="R55" s="218" t="n"/>
      <c r="S55" s="218" t="n"/>
      <c r="T55" s="218" t="n"/>
      <c r="U55" s="218" t="n"/>
      <c r="V55" s="218" t="n"/>
      <c r="W55" s="218" t="n"/>
      <c r="X55" s="218" t="n"/>
      <c r="Y55" s="218" t="n"/>
      <c r="Z55" s="218" t="n"/>
      <c r="AA55" s="218" t="n"/>
      <c r="AB55" s="218" t="n"/>
      <c r="AC55" s="218" t="n"/>
      <c r="AD55" s="218" t="n"/>
      <c r="AE55" s="218" t="n"/>
      <c r="AF55" s="218" t="n"/>
      <c r="AG55" s="218" t="n"/>
      <c r="AH55" s="218" t="n"/>
      <c r="AI55" s="218" t="n"/>
      <c r="AJ55" s="218" t="n"/>
      <c r="AK55" s="219" t="n"/>
    </row>
    <row r="56" ht="30" customHeight="1">
      <c r="A56" s="127" t="inlineStr">
        <is>
          <t>Term debt - current ($M)</t>
        </is>
      </c>
      <c r="B56" s="179" t="inlineStr">
        <is>
          <t>Hold flat</t>
        </is>
      </c>
      <c r="C56" s="154" t="inlineStr">
        <is>
          <t>Formula:FY25 Q4 anchor (col I), held flat. No maturity-by-tranche schedule was captured in Phase 2 (same 'flat unless known' rule the Drivers tab's Debt_Roll_Active note documents).</t>
        </is>
      </c>
      <c r="D56" s="218" t="n"/>
      <c r="E56" s="218" t="n"/>
      <c r="F56" s="218" t="n"/>
      <c r="G56" s="218" t="n"/>
      <c r="H56" s="218" t="n"/>
      <c r="I56" s="218" t="n"/>
      <c r="J56" s="218" t="n"/>
      <c r="K56" s="218" t="n"/>
      <c r="L56" s="218" t="n"/>
      <c r="M56" s="218" t="n"/>
      <c r="N56" s="218" t="n"/>
      <c r="O56" s="218" t="n"/>
      <c r="P56" s="218" t="n"/>
      <c r="Q56" s="218" t="n"/>
      <c r="R56" s="218" t="n"/>
      <c r="S56" s="218" t="n"/>
      <c r="T56" s="218" t="n"/>
      <c r="U56" s="218" t="n"/>
      <c r="V56" s="218" t="n"/>
      <c r="W56" s="218" t="n"/>
      <c r="X56" s="218" t="n"/>
      <c r="Y56" s="218" t="n"/>
      <c r="Z56" s="218" t="n"/>
      <c r="AA56" s="218" t="n"/>
      <c r="AB56" s="218" t="n"/>
      <c r="AC56" s="218" t="n"/>
      <c r="AD56" s="218" t="n"/>
      <c r="AE56" s="218" t="n"/>
      <c r="AF56" s="218" t="n"/>
      <c r="AG56" s="218" t="n"/>
      <c r="AH56" s="218" t="n"/>
      <c r="AI56" s="218" t="n"/>
      <c r="AJ56" s="218" t="n"/>
      <c r="AK56" s="219" t="n"/>
    </row>
    <row r="57" ht="30" customHeight="1">
      <c r="A57" s="127" t="inlineStr">
        <is>
          <t>Term debt - non-current ($M)</t>
        </is>
      </c>
      <c r="B57" s="179" t="inlineStr">
        <is>
          <t>Driven (debt roll)</t>
        </is>
      </c>
      <c r="C57" s="154" t="inlineStr">
        <is>
          <t>Formula:prior-period balance + Debt_Roll_Active (Drivers tab; currently $0 in every scenario, but a genuine live formula that will move if the driver is ever changed).</t>
        </is>
      </c>
      <c r="D57" s="218" t="n"/>
      <c r="E57" s="218" t="n"/>
      <c r="F57" s="218" t="n"/>
      <c r="G57" s="218" t="n"/>
      <c r="H57" s="218" t="n"/>
      <c r="I57" s="218" t="n"/>
      <c r="J57" s="218" t="n"/>
      <c r="K57" s="218" t="n"/>
      <c r="L57" s="218" t="n"/>
      <c r="M57" s="218" t="n"/>
      <c r="N57" s="218" t="n"/>
      <c r="O57" s="218" t="n"/>
      <c r="P57" s="218" t="n"/>
      <c r="Q57" s="218" t="n"/>
      <c r="R57" s="218" t="n"/>
      <c r="S57" s="218" t="n"/>
      <c r="T57" s="218" t="n"/>
      <c r="U57" s="218" t="n"/>
      <c r="V57" s="218" t="n"/>
      <c r="W57" s="218" t="n"/>
      <c r="X57" s="218" t="n"/>
      <c r="Y57" s="218" t="n"/>
      <c r="Z57" s="218" t="n"/>
      <c r="AA57" s="218" t="n"/>
      <c r="AB57" s="218" t="n"/>
      <c r="AC57" s="218" t="n"/>
      <c r="AD57" s="218" t="n"/>
      <c r="AE57" s="218" t="n"/>
      <c r="AF57" s="218" t="n"/>
      <c r="AG57" s="218" t="n"/>
      <c r="AH57" s="218" t="n"/>
      <c r="AI57" s="218" t="n"/>
      <c r="AJ57" s="218" t="n"/>
      <c r="AK57" s="219" t="n"/>
    </row>
    <row r="58" ht="30" customHeight="1">
      <c r="A58" s="127" t="inlineStr">
        <is>
          <t>Other non-current liabilities ($M)</t>
        </is>
      </c>
      <c r="B58" s="179" t="inlineStr">
        <is>
          <t>Hold flat</t>
        </is>
      </c>
      <c r="C58" s="154" t="inlineStr">
        <is>
          <t>Formula:FY25 Q4 anchor (col I), held flat. No specific driver identified for this catch-all line.</t>
        </is>
      </c>
      <c r="D58" s="218" t="n"/>
      <c r="E58" s="218" t="n"/>
      <c r="F58" s="218" t="n"/>
      <c r="G58" s="218" t="n"/>
      <c r="H58" s="218" t="n"/>
      <c r="I58" s="218" t="n"/>
      <c r="J58" s="218" t="n"/>
      <c r="K58" s="218" t="n"/>
      <c r="L58" s="218" t="n"/>
      <c r="M58" s="218" t="n"/>
      <c r="N58" s="218" t="n"/>
      <c r="O58" s="218" t="n"/>
      <c r="P58" s="218" t="n"/>
      <c r="Q58" s="218" t="n"/>
      <c r="R58" s="218" t="n"/>
      <c r="S58" s="218" t="n"/>
      <c r="T58" s="218" t="n"/>
      <c r="U58" s="218" t="n"/>
      <c r="V58" s="218" t="n"/>
      <c r="W58" s="218" t="n"/>
      <c r="X58" s="218" t="n"/>
      <c r="Y58" s="218" t="n"/>
      <c r="Z58" s="218" t="n"/>
      <c r="AA58" s="218" t="n"/>
      <c r="AB58" s="218" t="n"/>
      <c r="AC58" s="218" t="n"/>
      <c r="AD58" s="218" t="n"/>
      <c r="AE58" s="218" t="n"/>
      <c r="AF58" s="218" t="n"/>
      <c r="AG58" s="218" t="n"/>
      <c r="AH58" s="218" t="n"/>
      <c r="AI58" s="218" t="n"/>
      <c r="AJ58" s="218" t="n"/>
      <c r="AK58" s="219" t="n"/>
    </row>
    <row r="59" ht="30" customHeight="1">
      <c r="A59" s="127" t="inlineStr">
        <is>
          <t>Common stock and additional paid-in capital ($M)</t>
        </is>
      </c>
      <c r="B59" s="179" t="inlineStr">
        <is>
          <t>Hold flat</t>
        </is>
      </c>
      <c r="C59" s="154" t="inlineStr">
        <is>
          <t>Formula:FY25 Q4 anchor (col I), held flat. Per the brief's explicit simplification, buyback equity effects are captured entirely through the Retained Earnings roll-forward -- not a separately modeled treasury-stock/APIC mechanic.</t>
        </is>
      </c>
      <c r="D59" s="218" t="n"/>
      <c r="E59" s="218" t="n"/>
      <c r="F59" s="218" t="n"/>
      <c r="G59" s="218" t="n"/>
      <c r="H59" s="218" t="n"/>
      <c r="I59" s="218" t="n"/>
      <c r="J59" s="218" t="n"/>
      <c r="K59" s="218" t="n"/>
      <c r="L59" s="218" t="n"/>
      <c r="M59" s="218" t="n"/>
      <c r="N59" s="218" t="n"/>
      <c r="O59" s="218" t="n"/>
      <c r="P59" s="218" t="n"/>
      <c r="Q59" s="218" t="n"/>
      <c r="R59" s="218" t="n"/>
      <c r="S59" s="218" t="n"/>
      <c r="T59" s="218" t="n"/>
      <c r="U59" s="218" t="n"/>
      <c r="V59" s="218" t="n"/>
      <c r="W59" s="218" t="n"/>
      <c r="X59" s="218" t="n"/>
      <c r="Y59" s="218" t="n"/>
      <c r="Z59" s="218" t="n"/>
      <c r="AA59" s="218" t="n"/>
      <c r="AB59" s="218" t="n"/>
      <c r="AC59" s="218" t="n"/>
      <c r="AD59" s="218" t="n"/>
      <c r="AE59" s="218" t="n"/>
      <c r="AF59" s="218" t="n"/>
      <c r="AG59" s="218" t="n"/>
      <c r="AH59" s="218" t="n"/>
      <c r="AI59" s="218" t="n"/>
      <c r="AJ59" s="218" t="n"/>
      <c r="AK59" s="219" t="n"/>
    </row>
    <row r="60" ht="30" customHeight="1">
      <c r="A60" s="127" t="inlineStr">
        <is>
          <t>Accumulated other comprehensive income/(loss) ($M)</t>
        </is>
      </c>
      <c r="B60" s="179" t="inlineStr">
        <is>
          <t>Hold flat</t>
        </is>
      </c>
      <c r="C60" s="154" t="inlineStr">
        <is>
          <t>Formula:FY25 Q4 anchor (col I), held flat. No FX/hedging/pension driver modeled.</t>
        </is>
      </c>
      <c r="D60" s="218" t="n"/>
      <c r="E60" s="218" t="n"/>
      <c r="F60" s="218" t="n"/>
      <c r="G60" s="218" t="n"/>
      <c r="H60" s="218" t="n"/>
      <c r="I60" s="218" t="n"/>
      <c r="J60" s="218" t="n"/>
      <c r="K60" s="218" t="n"/>
      <c r="L60" s="218" t="n"/>
      <c r="M60" s="218" t="n"/>
      <c r="N60" s="218" t="n"/>
      <c r="O60" s="218" t="n"/>
      <c r="P60" s="218" t="n"/>
      <c r="Q60" s="218" t="n"/>
      <c r="R60" s="218" t="n"/>
      <c r="S60" s="218" t="n"/>
      <c r="T60" s="218" t="n"/>
      <c r="U60" s="218" t="n"/>
      <c r="V60" s="218" t="n"/>
      <c r="W60" s="218" t="n"/>
      <c r="X60" s="218" t="n"/>
      <c r="Y60" s="218" t="n"/>
      <c r="Z60" s="218" t="n"/>
      <c r="AA60" s="218" t="n"/>
      <c r="AB60" s="218" t="n"/>
      <c r="AC60" s="218" t="n"/>
      <c r="AD60" s="218" t="n"/>
      <c r="AE60" s="218" t="n"/>
      <c r="AF60" s="218" t="n"/>
      <c r="AG60" s="218" t="n"/>
      <c r="AH60" s="218" t="n"/>
      <c r="AI60" s="218" t="n"/>
      <c r="AJ60" s="218" t="n"/>
      <c r="AK60" s="219" t="n"/>
    </row>
    <row r="61" ht="30" customHeight="1">
      <c r="A61" s="127" t="inlineStr">
        <is>
          <t>Retained earnings/(Accumulated deficit) ($M)</t>
        </is>
      </c>
      <c r="B61" s="179" t="inlineStr">
        <is>
          <t>Driven (roll-forward)</t>
        </is>
      </c>
      <c r="C61" s="154" t="inlineStr">
        <is>
          <t>Formula:prior-period RE + Net Income (IS tab) - Dividends$ (Dividend_Payout_Active x NI, CF tab) - Buybacks$ (Buyback_Pct_FCF_Active x FCF, CF tab). Per the brief, buybacks reduce Retained Earnings directly -- a simplification, not the GAAP treasury-stock/APIC mechanic.</t>
        </is>
      </c>
      <c r="D61" s="218" t="n"/>
      <c r="E61" s="218" t="n"/>
      <c r="F61" s="218" t="n"/>
      <c r="G61" s="218" t="n"/>
      <c r="H61" s="218" t="n"/>
      <c r="I61" s="218" t="n"/>
      <c r="J61" s="218" t="n"/>
      <c r="K61" s="218" t="n"/>
      <c r="L61" s="218" t="n"/>
      <c r="M61" s="218" t="n"/>
      <c r="N61" s="218" t="n"/>
      <c r="O61" s="218" t="n"/>
      <c r="P61" s="218" t="n"/>
      <c r="Q61" s="218" t="n"/>
      <c r="R61" s="218" t="n"/>
      <c r="S61" s="218" t="n"/>
      <c r="T61" s="218" t="n"/>
      <c r="U61" s="218" t="n"/>
      <c r="V61" s="218" t="n"/>
      <c r="W61" s="218" t="n"/>
      <c r="X61" s="218" t="n"/>
      <c r="Y61" s="218" t="n"/>
      <c r="Z61" s="218" t="n"/>
      <c r="AA61" s="218" t="n"/>
      <c r="AB61" s="218" t="n"/>
      <c r="AC61" s="218" t="n"/>
      <c r="AD61" s="218" t="n"/>
      <c r="AE61" s="218" t="n"/>
      <c r="AF61" s="218" t="n"/>
      <c r="AG61" s="218" t="n"/>
      <c r="AH61" s="218" t="n"/>
      <c r="AI61" s="218" t="n"/>
      <c r="AJ61" s="218" t="n"/>
      <c r="AK61" s="219" t="n"/>
    </row>
    <row r="62">
      <c r="A62" s="129" t="n"/>
      <c r="B62" s="129" t="n"/>
      <c r="C62" s="129" t="n"/>
      <c r="D62" s="129" t="n"/>
      <c r="E62" s="129" t="n"/>
      <c r="F62" s="129" t="n"/>
      <c r="G62" s="129" t="n"/>
      <c r="H62" s="129" t="n"/>
      <c r="I62" s="129" t="n"/>
      <c r="J62" s="129" t="n"/>
      <c r="K62" s="129" t="n"/>
      <c r="L62" s="129" t="n"/>
      <c r="M62" s="129" t="n"/>
      <c r="N62" s="129" t="n"/>
      <c r="O62" s="129" t="n"/>
      <c r="P62" s="129" t="n"/>
      <c r="Q62" s="129" t="n"/>
      <c r="R62" s="129" t="n"/>
      <c r="S62" s="129" t="n"/>
      <c r="T62" s="129" t="n"/>
      <c r="U62" s="129" t="n"/>
      <c r="V62" s="129" t="n"/>
      <c r="W62" s="129" t="n"/>
      <c r="X62" s="129" t="n"/>
      <c r="Y62" s="129" t="n"/>
      <c r="Z62" s="129" t="n"/>
      <c r="AA62" s="129" t="n"/>
      <c r="AB62" s="129" t="n"/>
      <c r="AC62" s="129" t="n"/>
      <c r="AD62" s="129" t="n"/>
      <c r="AE62" s="129" t="n"/>
      <c r="AF62" s="129" t="n"/>
      <c r="AG62" s="129" t="n"/>
      <c r="AH62" s="129" t="n"/>
      <c r="AI62" s="129" t="n"/>
      <c r="AJ62" s="129" t="n"/>
      <c r="AK62" s="129" t="n"/>
    </row>
    <row r="63" ht="72" customHeight="1">
      <c r="A63" s="180" t="inlineStr">
        <is>
          <t>Color legend: blue = real historical literal input (Quarterly tab for Cash/AR/Inventory/AP; Annual tab for the full FY24 Q4 / FY25 Q4 balance sheet; the Q1/Q2 FY2026 Actual overlay columns Q/Y mirror the real historical columns J/K); black on light green = forecast formula output (driven or hold-flat -- see documentation block above); light grey = subtotal / Total column (Total mirrors that vintage's own Q4 column). 'n/a' = not available at quarterly grain in the Historical Database, or (Q/Y) a line Apple does not disclose at quarterly grain at all -- never fabricated or plugged. Balance Check row is conditionally formatted green when within $1M of zero, red otherwise; it reads 'n/a' rather than a fabricated zero wherever a full balance sheet cannot honestly be built. BULL-SCENARIO CASH NOTE: under Bull, the Cash line's decline is visible starting from the very first forecast quarter (FY26 Q1 AOP, col L) and is continuous and steady through every subsequent vintage column -- Cash turns NEGATIVE starting FY2027 Q3 (col AH) and remains negative through FY2027 Q4 (col AI): two consecutive negative quarters, not a single Q4 tail event. Root cause: Bull sets Buyback_Pct_FCF_Active to 100% (consuming the entire FCF pool every quarter) with dividends layered on top and no revolver/cash-floor mechanic modeled -- a deterministic drain baked in from quarter one, confirmed by tracing every column of the Bull-scenario cash trajectory. This is NOT a balance-check bug: Total Assets - Total Liabilities - Total Equity holds at effectively exact zero at every column along this entire path under Bull, exactly as it does in Base and Bear.</t>
        </is>
      </c>
      <c r="B63" s="218" t="n"/>
      <c r="C63" s="218" t="n"/>
      <c r="D63" s="218" t="n"/>
      <c r="E63" s="218" t="n"/>
      <c r="F63" s="218" t="n"/>
      <c r="G63" s="218" t="n"/>
      <c r="H63" s="218" t="n"/>
      <c r="I63" s="218" t="n"/>
      <c r="J63" s="218" t="n"/>
      <c r="K63" s="218" t="n"/>
      <c r="L63" s="218" t="n"/>
      <c r="M63" s="218" t="n"/>
      <c r="N63" s="218" t="n"/>
      <c r="O63" s="218" t="n"/>
      <c r="P63" s="218" t="n"/>
      <c r="Q63" s="218" t="n"/>
      <c r="R63" s="218" t="n"/>
      <c r="S63" s="218" t="n"/>
      <c r="T63" s="218" t="n"/>
      <c r="U63" s="218" t="n"/>
      <c r="V63" s="218" t="n"/>
      <c r="W63" s="218" t="n"/>
      <c r="X63" s="218" t="n"/>
      <c r="Y63" s="218" t="n"/>
      <c r="Z63" s="218" t="n"/>
      <c r="AA63" s="218" t="n"/>
      <c r="AB63" s="218" t="n"/>
      <c r="AC63" s="218" t="n"/>
      <c r="AD63" s="218" t="n"/>
      <c r="AE63" s="218" t="n"/>
      <c r="AF63" s="218" t="n"/>
      <c r="AG63" s="218" t="n"/>
      <c r="AH63" s="218" t="n"/>
      <c r="AI63" s="218" t="n"/>
      <c r="AJ63" s="218" t="n"/>
      <c r="AK63" s="219" t="n"/>
    </row>
  </sheetData>
  <mergeCells count="31">
    <mergeCell ref="A3:AK3"/>
    <mergeCell ref="C57:AK57"/>
    <mergeCell ref="A2:AK2"/>
    <mergeCell ref="C53:AK53"/>
    <mergeCell ref="C49:AK49"/>
    <mergeCell ref="A8:AK8"/>
    <mergeCell ref="B5:K5"/>
    <mergeCell ref="C42:AK42"/>
    <mergeCell ref="C58:AK58"/>
    <mergeCell ref="A63:AK63"/>
    <mergeCell ref="C45:AK45"/>
    <mergeCell ref="L5:P5"/>
    <mergeCell ref="T5:W5"/>
    <mergeCell ref="C47:AK47"/>
    <mergeCell ref="C54:AK54"/>
    <mergeCell ref="C55:AK55"/>
    <mergeCell ref="C50:AK50"/>
    <mergeCell ref="C44:AK44"/>
    <mergeCell ref="AF5:AJ5"/>
    <mergeCell ref="C56:AK56"/>
    <mergeCell ref="C43:AK43"/>
    <mergeCell ref="A1:AK1"/>
    <mergeCell ref="C46:AK46"/>
    <mergeCell ref="C59:AK59"/>
    <mergeCell ref="C60:AK60"/>
    <mergeCell ref="C51:AK51"/>
    <mergeCell ref="AB5:AD5"/>
    <mergeCell ref="A41:AK41"/>
    <mergeCell ref="C52:AK52"/>
    <mergeCell ref="C48:AK48"/>
    <mergeCell ref="C61:AK61"/>
  </mergeCells>
  <conditionalFormatting sqref="B39:AK39">
    <cfRule type="cellIs" priority="1" operator="between" dxfId="0">
      <formula>-1</formula>
      <formula>1</formula>
    </cfRule>
    <cfRule type="cellIs" priority="2" operator="notBetween" dxfId="1">
      <formula>-1</formula>
      <formula>1</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K34"/>
  <sheetViews>
    <sheetView showGridLines="1" workbookViewId="0">
      <pane xSplit="1" ySplit="6" topLeftCell="B7" activePane="bottomRight" state="frozen"/>
      <selection pane="top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46"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3" customWidth="1" min="18" max="18"/>
    <col width="3" customWidth="1" min="19" max="19"/>
    <col width="13" customWidth="1" min="20" max="20"/>
    <col width="13" customWidth="1" min="21" max="21"/>
    <col width="13" customWidth="1" min="22" max="22"/>
    <col width="13" customWidth="1" min="23" max="23"/>
    <col width="3" customWidth="1" min="24" max="24"/>
    <col width="13" customWidth="1" min="25" max="25"/>
    <col width="3" customWidth="1" min="26" max="26"/>
    <col width="3" customWidth="1" min="27" max="27"/>
    <col width="13" customWidth="1" min="28" max="28"/>
    <col width="13" customWidth="1" min="29" max="29"/>
    <col width="13" customWidth="1" min="30" max="30"/>
    <col width="3" customWidth="1" min="31" max="31"/>
    <col width="13" customWidth="1" min="32" max="32"/>
    <col width="13" customWidth="1" min="33" max="33"/>
    <col width="13" customWidth="1" min="34" max="34"/>
    <col width="13" customWidth="1" min="35" max="35"/>
    <col width="13" customWidth="1" min="36" max="36"/>
    <col width="3" customWidth="1" min="37" max="37"/>
  </cols>
  <sheetData>
    <row r="1" ht="22" customHeight="1">
      <c r="A1" s="126" t="inlineStr">
        <is>
          <t>Apple Inc. -- Driver-Based Rolling Forecast Model: CASH FLOW (CF)</t>
        </is>
      </c>
      <c r="B1" s="218" t="n"/>
      <c r="C1" s="218" t="n"/>
      <c r="D1" s="218" t="n"/>
      <c r="E1" s="218" t="n"/>
      <c r="F1" s="218" t="n"/>
      <c r="G1" s="218" t="n"/>
      <c r="H1" s="218" t="n"/>
      <c r="I1" s="218" t="n"/>
      <c r="J1" s="218" t="n"/>
      <c r="K1" s="218" t="n"/>
      <c r="L1" s="218" t="n"/>
      <c r="M1" s="218" t="n"/>
      <c r="N1" s="218" t="n"/>
      <c r="O1" s="218" t="n"/>
      <c r="P1" s="218" t="n"/>
      <c r="Q1" s="218" t="n"/>
      <c r="R1" s="218" t="n"/>
      <c r="S1" s="218" t="n"/>
      <c r="T1" s="218" t="n"/>
      <c r="U1" s="218" t="n"/>
      <c r="V1" s="218" t="n"/>
      <c r="W1" s="218" t="n"/>
      <c r="X1" s="218" t="n"/>
      <c r="Y1" s="218" t="n"/>
      <c r="Z1" s="218" t="n"/>
      <c r="AA1" s="218" t="n"/>
      <c r="AB1" s="218" t="n"/>
      <c r="AC1" s="218" t="n"/>
      <c r="AD1" s="218" t="n"/>
      <c r="AE1" s="218" t="n"/>
      <c r="AF1" s="218" t="n"/>
      <c r="AG1" s="218" t="n"/>
      <c r="AH1" s="218" t="n"/>
      <c r="AI1" s="218" t="n"/>
      <c r="AJ1" s="218" t="n"/>
      <c r="AK1" s="219" t="n"/>
    </row>
    <row r="2" ht="40" customHeight="1">
      <c r="A2" s="133" t="inlineStr">
        <is>
          <t>Historical actuals: Net income (via IS tab), Repurchases of common stock, and Dividends paid are real discrete-quarter disclosures for all 10 historical quarters (B:K) and the Q1/Q2 FY2026 Actual overlay columns (Q, Y). Change in AR/Inventory/AP is a REAL derived figure (this period's real BS balance minus the prior REAL period's real BS balance) wherever both quarters are available (col B has no prior quarter in the dataset). D&amp;A, CapEx, and the OCF/ICF/Financing subtotals are NOT disclosed at discrete-quarter grain anywhere in the source data (10-Qs report cash flow YTD-cumulative, not discrete-quarter) -- shown 'n/a', never fabricated. 'Cash, end of period' for these columns is the real BS Cash balance.</t>
        </is>
      </c>
      <c r="B2" s="218" t="n"/>
      <c r="C2" s="218" t="n"/>
      <c r="D2" s="218" t="n"/>
      <c r="E2" s="218" t="n"/>
      <c r="F2" s="218" t="n"/>
      <c r="G2" s="218" t="n"/>
      <c r="H2" s="218" t="n"/>
      <c r="I2" s="218" t="n"/>
      <c r="J2" s="218" t="n"/>
      <c r="K2" s="218" t="n"/>
      <c r="L2" s="218" t="n"/>
      <c r="M2" s="218" t="n"/>
      <c r="N2" s="218" t="n"/>
      <c r="O2" s="218" t="n"/>
      <c r="P2" s="218" t="n"/>
      <c r="Q2" s="218" t="n"/>
      <c r="R2" s="218" t="n"/>
      <c r="S2" s="218" t="n"/>
      <c r="T2" s="218" t="n"/>
      <c r="U2" s="218" t="n"/>
      <c r="V2" s="218" t="n"/>
      <c r="W2" s="218" t="n"/>
      <c r="X2" s="218" t="n"/>
      <c r="Y2" s="218" t="n"/>
      <c r="Z2" s="218" t="n"/>
      <c r="AA2" s="218" t="n"/>
      <c r="AB2" s="218" t="n"/>
      <c r="AC2" s="218" t="n"/>
      <c r="AD2" s="218" t="n"/>
      <c r="AE2" s="218" t="n"/>
      <c r="AF2" s="218" t="n"/>
      <c r="AG2" s="218" t="n"/>
      <c r="AH2" s="218" t="n"/>
      <c r="AI2" s="218" t="n"/>
      <c r="AJ2" s="218" t="n"/>
      <c r="AK2" s="219" t="n"/>
    </row>
    <row r="3" ht="155" customHeight="1">
      <c r="A3" s="133" t="inlineStr">
        <is>
          <t>Forecast columns: Operating CF = Net income (IS tab) + D&amp;A (row 9 assumption x Revenue) + working-capital changes (AR/Inventory/AP deltas vs. this column's own roll-forward prior on the BS tab). WHY THE ROLL-FORWARD PRIOR IS THE LAST MODELED COLUMN, NOT THE REAL Q1/Q2 ACTUAL OVERLAY COLUMNS (Q, Y) -- design choice, not an oversight: re-anchoring a forecast quarter's Begin-Cash/PP&amp;E/debt/equity to Q or Y is mathematically impossible to balance without a hidden plug, because Q/Y carry REAL Cash/AR/Inventory/AP but Apple discloses no quarterly PP&amp;E/debt/equity detail to match against them (full reasoning and algebraic proof: BS!A2 above). CONSEQUENCE, STATED EXPLICITLY: forecast cash increasingly diverges from real reported cash as actuals come in -- in this delivered file the live Q3 Reforecast vintage's FY2026-exit modeled cash (col AD, row 30) is ~$29.8B vs. the real FY2026 Q2 reported cash of ~$45.6B two columns to the left in this same row (col K) -- a disclosed methodological limitation, not a formula error. Investing CF = -CapEx (Drivers!CapEx_Pct_Rev_Active x Revenue). Financing CF = -Buyback$ (Drivers!Buyback_Pct_FCF_Active x this period's own FCF -- a same-period proxy for the Drivers tab's 'trailing FCF' label; no multi-period trailing mechanism exists elsewhere in this model) - Dividend$ (Drivers!Dividend_Payout_Active x NI) + Drivers!Debt_Roll_Active. 'Cash, end of period' = 'Cash, beginning of period' + net change -- this IS the figure the BS tab's Cash line pulls from (never an independent plug). Total columns (P/W/AD/AJ): Net income/Buyback/Dividend sum cleanly across the vintage's own quarters (matching the IS tab's own Total-column convention); every other flow line is 'n/a' for the two Totals (W, AD) that blend a real actual quarter with modeled quarters whose own roll-forward prior is NOT that real quarter (summing across that seam would silently misstate the figure) -- Begin/End Cash for every Total instead read directly off the BS tab.</t>
        </is>
      </c>
      <c r="B3" s="218" t="n"/>
      <c r="C3" s="218" t="n"/>
      <c r="D3" s="218" t="n"/>
      <c r="E3" s="218" t="n"/>
      <c r="F3" s="218" t="n"/>
      <c r="G3" s="218" t="n"/>
      <c r="H3" s="218" t="n"/>
      <c r="I3" s="218" t="n"/>
      <c r="J3" s="218" t="n"/>
      <c r="K3" s="218" t="n"/>
      <c r="L3" s="218" t="n"/>
      <c r="M3" s="218" t="n"/>
      <c r="N3" s="218" t="n"/>
      <c r="O3" s="218" t="n"/>
      <c r="P3" s="218" t="n"/>
      <c r="Q3" s="218" t="n"/>
      <c r="R3" s="218" t="n"/>
      <c r="S3" s="218" t="n"/>
      <c r="T3" s="218" t="n"/>
      <c r="U3" s="218" t="n"/>
      <c r="V3" s="218" t="n"/>
      <c r="W3" s="218" t="n"/>
      <c r="X3" s="218" t="n"/>
      <c r="Y3" s="218" t="n"/>
      <c r="Z3" s="218" t="n"/>
      <c r="AA3" s="218" t="n"/>
      <c r="AB3" s="218" t="n"/>
      <c r="AC3" s="218" t="n"/>
      <c r="AD3" s="218" t="n"/>
      <c r="AE3" s="218" t="n"/>
      <c r="AF3" s="218" t="n"/>
      <c r="AG3" s="218" t="n"/>
      <c r="AH3" s="218" t="n"/>
      <c r="AI3" s="218" t="n"/>
      <c r="AJ3" s="218" t="n"/>
      <c r="AK3" s="219" t="n"/>
    </row>
    <row r="4">
      <c r="A4" s="129" t="n"/>
      <c r="B4" s="129" t="n"/>
      <c r="C4" s="129" t="n"/>
      <c r="D4" s="129" t="n"/>
      <c r="E4" s="129" t="n"/>
      <c r="F4" s="129" t="n"/>
      <c r="G4" s="129" t="n"/>
      <c r="H4" s="129" t="n"/>
      <c r="I4" s="129" t="n"/>
      <c r="J4" s="129" t="n"/>
      <c r="K4" s="129" t="n"/>
      <c r="L4" s="129" t="n"/>
      <c r="M4" s="129" t="n"/>
      <c r="N4" s="129" t="n"/>
      <c r="O4" s="129" t="n"/>
      <c r="P4" s="129" t="n"/>
      <c r="Q4" s="129" t="n"/>
      <c r="R4" s="129" t="n"/>
      <c r="S4" s="129" t="n"/>
      <c r="T4" s="129" t="n"/>
      <c r="U4" s="129" t="n"/>
      <c r="V4" s="129" t="n"/>
      <c r="W4" s="129" t="n"/>
      <c r="X4" s="129" t="n"/>
      <c r="Y4" s="129" t="n"/>
      <c r="Z4" s="129" t="n"/>
      <c r="AA4" s="129" t="n"/>
      <c r="AB4" s="129" t="n"/>
      <c r="AC4" s="129" t="n"/>
      <c r="AD4" s="129" t="n"/>
      <c r="AE4" s="129" t="n"/>
      <c r="AF4" s="129" t="n"/>
      <c r="AG4" s="129" t="n"/>
      <c r="AH4" s="129" t="n"/>
      <c r="AI4" s="129" t="n"/>
      <c r="AJ4" s="129" t="n"/>
      <c r="AK4" s="129" t="n"/>
    </row>
    <row r="5">
      <c r="A5" s="129" t="n"/>
      <c r="B5" s="168" t="str">
        <f>IS!B5</f>
        <v>HISTORICAL ACTUALS -- Source: 02 Historical Financial Database.xlsx, Quarterly tab (real values, not re-derived)</v>
      </c>
      <c r="C5" s="218" t="n"/>
      <c r="D5" s="218" t="n"/>
      <c r="E5" s="218" t="n"/>
      <c r="F5" s="218" t="n"/>
      <c r="G5" s="218" t="n"/>
      <c r="H5" s="218" t="n"/>
      <c r="I5" s="218" t="n"/>
      <c r="J5" s="218" t="n"/>
      <c r="K5" s="219" t="n"/>
      <c r="L5" s="168" t="str">
        <f>IS!L5</f>
        <v>FY2026 Approved AOP -- first rolling-forecast vintage (Drivers tab Active column; Base/Bull/Bear scenario switch at Drivers!B6)</v>
      </c>
      <c r="M5" s="218" t="n"/>
      <c r="N5" s="218" t="n"/>
      <c r="O5" s="218" t="n"/>
      <c r="P5" s="219" t="n"/>
      <c r="Q5" s="168" t="str">
        <f>IS!Q5</f>
        <v>Q1 FY2026 ACTUAL vs. APPROVED AOP VARIANCE -- Actual = mirror of historical col J (real data); Variance = Actual - Approved AOP Q1 (col L)</v>
      </c>
      <c r="R5" s="129" t="n"/>
      <c r="S5" s="129" t="n"/>
      <c r="T5" s="168" t="str">
        <f>IS!T5</f>
        <v>Q1 FORECAST UPDATE -- second rolling-forecast vintage (Q1 FY2026 actual reported; Q2-Q4 FY2026 reforecast using the Drivers tab Active column PLUS the Q1-actual driver adjustments in rows 63-78 below, in place of reverting to the original AOP assumptions where the Q1 variance was material)</v>
      </c>
      <c r="U5" s="218" t="n"/>
      <c r="V5" s="218" t="n"/>
      <c r="W5" s="219" t="n"/>
      <c r="X5" s="129" t="n"/>
      <c r="Y5" s="168" t="str">
        <f>IS!Y5</f>
        <v>Q2 FY2026 ACTUAL vs. Q1 FORECAST UPDATE VARIANCE -- Actual = mirror of historical col K (real data); Variance = Actual - Q1 Forecast Update's own Q2 column (T)</v>
      </c>
      <c r="Z5" s="129" t="n"/>
      <c r="AA5" s="129" t="n"/>
      <c r="AB5" s="168" t="str">
        <f>IS!AB5</f>
        <v>Q3 REFORECAST -- third rolling-forecast vintage, and the CURRENT / LIVE forecast in this project's story (Q1 and Q2 FY2026 are now both real actuals; Q3-Q4 reforecast using the Q1 Forecast Update's own Annual Build PLUS the Q2-actual driver adjustments in rows 84-99 below, in place of reverting to the Q1 Forecast Update's own assumptions where the Q2 variance was material)</v>
      </c>
      <c r="AC5" s="218" t="n"/>
      <c r="AD5" s="219" t="n"/>
      <c r="AE5" s="129" t="n"/>
      <c r="AF5" s="168" t="str">
        <f>IS!AF5</f>
        <v>FY2027 AOP -- fifth and FINAL rolling-forecast vintage: next year's Annual Operating Plan, built off the Q3 Reforecast's Q4 FY2026 EXIT run-rate (col AC de-seasonalized by dividing by the Q4 weight, row 12 col E -- NOT a naive x4, and NOT the Q3 Reforecast's FY26 Total), grown one more year via the Drivers tab's Active assumptions (Base/Bull/Bear switch at Drivers!B6). Fresh forward plan -- no Driver Adjustment Log (see row 125).</v>
      </c>
      <c r="AG5" s="218" t="n"/>
      <c r="AH5" s="218" t="n"/>
      <c r="AI5" s="218" t="n"/>
      <c r="AJ5" s="219" t="n"/>
      <c r="AK5" s="129" t="n"/>
    </row>
    <row r="6" ht="30" customHeight="1">
      <c r="A6" s="137" t="inlineStr">
        <is>
          <t>Line Item</t>
        </is>
      </c>
      <c r="B6" s="168" t="str">
        <f>IS!B6</f>
        <v>FY24 Q1</v>
      </c>
      <c r="C6" s="168" t="str">
        <f>IS!C6</f>
        <v>FY24 Q2</v>
      </c>
      <c r="D6" s="168" t="str">
        <f>IS!D6</f>
        <v>FY24 Q3</v>
      </c>
      <c r="E6" s="168" t="str">
        <f>IS!E6</f>
        <v>FY24 Q4</v>
      </c>
      <c r="F6" s="168" t="str">
        <f>IS!F6</f>
        <v>FY25 Q1</v>
      </c>
      <c r="G6" s="168" t="str">
        <f>IS!G6</f>
        <v>FY25 Q2</v>
      </c>
      <c r="H6" s="168" t="str">
        <f>IS!H6</f>
        <v>FY25 Q3</v>
      </c>
      <c r="I6" s="168" t="str">
        <f>IS!I6</f>
        <v>FY25 Q4</v>
      </c>
      <c r="J6" s="168" t="str">
        <f>IS!J6</f>
        <v>FY26 Q1 (Actual)</v>
      </c>
      <c r="K6" s="168" t="str">
        <f>IS!K6</f>
        <v>FY26 Q2 (Actual)</v>
      </c>
      <c r="L6" s="168" t="str">
        <f>IS!L6</f>
        <v>Q1 -- FY2026 Approved AOP</v>
      </c>
      <c r="M6" s="168" t="str">
        <f>IS!M6</f>
        <v>Q2 -- FY2026 Approved AOP</v>
      </c>
      <c r="N6" s="168" t="str">
        <f>IS!N6</f>
        <v>Q3 -- FY2026 Approved AOP</v>
      </c>
      <c r="O6" s="168" t="str">
        <f>IS!O6</f>
        <v>Q4 -- FY2026 Approved AOP</v>
      </c>
      <c r="P6" s="168" t="str">
        <f>IS!P6</f>
        <v>FY26 Total -- FY2026 Approved AOP</v>
      </c>
      <c r="Q6" s="168" t="str">
        <f>IS!Q6</f>
        <v>Q1 FY2026 Actual</v>
      </c>
      <c r="R6" s="129" t="n"/>
      <c r="S6" s="129" t="n"/>
      <c r="T6" s="168" t="str">
        <f>IS!T6</f>
        <v>Q2 -- Q1 Forecast Update</v>
      </c>
      <c r="U6" s="168" t="str">
        <f>IS!U6</f>
        <v>Q3 -- Q1 Forecast Update</v>
      </c>
      <c r="V6" s="168" t="str">
        <f>IS!V6</f>
        <v>Q4 -- Q1 Forecast Update</v>
      </c>
      <c r="W6" s="168" t="str">
        <f>IS!W6</f>
        <v>FY26 Total -- Q1 Forecast Update</v>
      </c>
      <c r="X6" s="129" t="n"/>
      <c r="Y6" s="168" t="str">
        <f>IS!Y6</f>
        <v>Q2 FY2026 Actual</v>
      </c>
      <c r="Z6" s="129" t="n"/>
      <c r="AA6" s="129" t="n"/>
      <c r="AB6" s="168" t="str">
        <f>IS!AB6</f>
        <v>Q3 -- Q3 Reforecast</v>
      </c>
      <c r="AC6" s="168" t="str">
        <f>IS!AC6</f>
        <v>Q4 -- Q3 Reforecast</v>
      </c>
      <c r="AD6" s="168" t="str">
        <f>IS!AD6</f>
        <v>FY26 Total -- Q3 Reforecast</v>
      </c>
      <c r="AE6" s="129" t="n"/>
      <c r="AF6" s="168" t="str">
        <f>IS!AF6</f>
        <v>Q1 -- FY2027 AOP</v>
      </c>
      <c r="AG6" s="168" t="str">
        <f>IS!AG6</f>
        <v>Q2 -- FY2027 AOP</v>
      </c>
      <c r="AH6" s="168" t="str">
        <f>IS!AH6</f>
        <v>Q3 -- FY2027 AOP</v>
      </c>
      <c r="AI6" s="168" t="str">
        <f>IS!AI6</f>
        <v>Q4 -- FY2027 AOP</v>
      </c>
      <c r="AJ6" s="168" t="str">
        <f>IS!AJ6</f>
        <v>FY27 Total -- FY2027 AOP</v>
      </c>
      <c r="AK6" s="129" t="n"/>
    </row>
    <row r="7">
      <c r="A7" s="129" t="n"/>
      <c r="B7" s="129" t="n"/>
      <c r="C7" s="129" t="n"/>
      <c r="D7" s="129" t="n"/>
      <c r="E7" s="129" t="n"/>
      <c r="F7" s="129" t="n"/>
      <c r="G7" s="129" t="n"/>
      <c r="H7" s="129" t="n"/>
      <c r="I7" s="129" t="n"/>
      <c r="J7" s="129" t="n"/>
      <c r="K7" s="129" t="n"/>
      <c r="L7" s="129" t="n"/>
      <c r="M7" s="129" t="n"/>
      <c r="N7" s="129" t="n"/>
      <c r="O7" s="129" t="n"/>
      <c r="P7" s="129" t="n"/>
      <c r="Q7" s="129" t="n"/>
      <c r="R7" s="129" t="n"/>
      <c r="S7" s="129" t="n"/>
      <c r="T7" s="129" t="n"/>
      <c r="U7" s="129" t="n"/>
      <c r="V7" s="129" t="n"/>
      <c r="W7" s="129" t="n"/>
      <c r="X7" s="129" t="n"/>
      <c r="Y7" s="129" t="n"/>
      <c r="Z7" s="129" t="n"/>
      <c r="AA7" s="129" t="n"/>
      <c r="AB7" s="129" t="n"/>
      <c r="AC7" s="129" t="n"/>
      <c r="AD7" s="129" t="n"/>
      <c r="AE7" s="129" t="n"/>
      <c r="AF7" s="129" t="n"/>
      <c r="AG7" s="129" t="n"/>
      <c r="AH7" s="129" t="n"/>
      <c r="AI7" s="129" t="n"/>
      <c r="AJ7" s="129" t="n"/>
      <c r="AK7" s="129" t="n"/>
    </row>
    <row r="8" ht="16" customHeight="1">
      <c r="A8" s="138" t="inlineStr">
        <is>
          <t>KEY ASSUMPTION -- DEPRECIATION &amp; AMORTIZATION</t>
        </is>
      </c>
      <c r="B8" s="218" t="n"/>
      <c r="C8" s="218" t="n"/>
      <c r="D8" s="218" t="n"/>
      <c r="E8" s="218" t="n"/>
      <c r="F8" s="218" t="n"/>
      <c r="G8" s="218" t="n"/>
      <c r="H8" s="218" t="n"/>
      <c r="I8" s="218" t="n"/>
      <c r="J8" s="218" t="n"/>
      <c r="K8" s="218" t="n"/>
      <c r="L8" s="218" t="n"/>
      <c r="M8" s="218" t="n"/>
      <c r="N8" s="218" t="n"/>
      <c r="O8" s="218" t="n"/>
      <c r="P8" s="218" t="n"/>
      <c r="Q8" s="218" t="n"/>
      <c r="R8" s="218" t="n"/>
      <c r="S8" s="218" t="n"/>
      <c r="T8" s="218" t="n"/>
      <c r="U8" s="218" t="n"/>
      <c r="V8" s="218" t="n"/>
      <c r="W8" s="218" t="n"/>
      <c r="X8" s="218" t="n"/>
      <c r="Y8" s="218" t="n"/>
      <c r="Z8" s="218" t="n"/>
      <c r="AA8" s="218" t="n"/>
      <c r="AB8" s="218" t="n"/>
      <c r="AC8" s="218" t="n"/>
      <c r="AD8" s="218" t="n"/>
      <c r="AE8" s="218" t="n"/>
      <c r="AF8" s="218" t="n"/>
      <c r="AG8" s="218" t="n"/>
      <c r="AH8" s="218" t="n"/>
      <c r="AI8" s="218" t="n"/>
      <c r="AJ8" s="218" t="n"/>
      <c r="AK8" s="219" t="n"/>
    </row>
    <row r="9" ht="40" customHeight="1">
      <c r="A9" s="164" t="inlineStr">
        <is>
          <t>D&amp;A (% of Net Sales) -- assumption, held flat, scenario-independent</t>
        </is>
      </c>
      <c r="B9" s="129" t="n"/>
      <c r="C9" s="141" t="n">
        <v>0.02928729415651383</v>
      </c>
      <c r="D9" s="143" t="inlineStr">
        <is>
          <t>5-yr FY2021-FY2025 average of (D&amp;A / Net sales), computed from the Historical Database's Annual tab (yearly ratios: 3.08%, 2.82%, 3.01%, 2.93%, 2.81%; average 2.93%). The Drivers tab has no scenario-specific D&amp;A named range (confirmed by reading its full 29-row map), so this is this task's own scenario-INDEPENDENT local assumption -- held flat at the same rate in Base/Bull/Bear.</t>
        </is>
      </c>
      <c r="E9" s="218" t="n"/>
      <c r="F9" s="218" t="n"/>
      <c r="G9" s="218" t="n"/>
      <c r="H9" s="218" t="n"/>
      <c r="I9" s="218" t="n"/>
      <c r="J9" s="218" t="n"/>
      <c r="K9" s="218" t="n"/>
      <c r="L9" s="218" t="n"/>
      <c r="M9" s="218" t="n"/>
      <c r="N9" s="218" t="n"/>
      <c r="O9" s="218" t="n"/>
      <c r="P9" s="218" t="n"/>
      <c r="Q9" s="218" t="n"/>
      <c r="R9" s="218" t="n"/>
      <c r="S9" s="218" t="n"/>
      <c r="T9" s="218" t="n"/>
      <c r="U9" s="218" t="n"/>
      <c r="V9" s="218" t="n"/>
      <c r="W9" s="218" t="n"/>
      <c r="X9" s="218" t="n"/>
      <c r="Y9" s="218" t="n"/>
      <c r="Z9" s="218" t="n"/>
      <c r="AA9" s="218" t="n"/>
      <c r="AB9" s="218" t="n"/>
      <c r="AC9" s="218" t="n"/>
      <c r="AD9" s="218" t="n"/>
      <c r="AE9" s="218" t="n"/>
      <c r="AF9" s="218" t="n"/>
      <c r="AG9" s="218" t="n"/>
      <c r="AH9" s="218" t="n"/>
      <c r="AI9" s="218" t="n"/>
      <c r="AJ9" s="218" t="n"/>
      <c r="AK9" s="219" t="n"/>
    </row>
    <row r="10">
      <c r="A10" s="129" t="n"/>
      <c r="B10" s="129" t="n"/>
      <c r="C10" s="129" t="n"/>
      <c r="D10" s="129" t="n"/>
      <c r="E10" s="129" t="n"/>
      <c r="F10" s="129" t="n"/>
      <c r="G10" s="129" t="n"/>
      <c r="H10" s="129" t="n"/>
      <c r="I10" s="129" t="n"/>
      <c r="J10" s="129" t="n"/>
      <c r="K10" s="129" t="n"/>
      <c r="L10" s="129" t="n"/>
      <c r="M10" s="129" t="n"/>
      <c r="N10" s="129" t="n"/>
      <c r="O10" s="129" t="n"/>
      <c r="P10" s="129" t="n"/>
      <c r="Q10" s="129" t="n"/>
      <c r="R10" s="129" t="n"/>
      <c r="S10" s="129" t="n"/>
      <c r="T10" s="129" t="n"/>
      <c r="U10" s="129" t="n"/>
      <c r="V10" s="129" t="n"/>
      <c r="W10" s="129" t="n"/>
      <c r="X10" s="129" t="n"/>
      <c r="Y10" s="129" t="n"/>
      <c r="Z10" s="129" t="n"/>
      <c r="AA10" s="129" t="n"/>
      <c r="AB10" s="129" t="n"/>
      <c r="AC10" s="129" t="n"/>
      <c r="AD10" s="129" t="n"/>
      <c r="AE10" s="129" t="n"/>
      <c r="AF10" s="129" t="n"/>
      <c r="AG10" s="129" t="n"/>
      <c r="AH10" s="129" t="n"/>
      <c r="AI10" s="129" t="n"/>
      <c r="AJ10" s="129" t="n"/>
      <c r="AK10" s="129" t="n"/>
    </row>
    <row r="11" ht="16" customHeight="1">
      <c r="A11" s="138" t="inlineStr">
        <is>
          <t>CASH FLOW STATEMENT</t>
        </is>
      </c>
      <c r="B11" s="218" t="n"/>
      <c r="C11" s="218" t="n"/>
      <c r="D11" s="218" t="n"/>
      <c r="E11" s="218" t="n"/>
      <c r="F11" s="218" t="n"/>
      <c r="G11" s="218" t="n"/>
      <c r="H11" s="218" t="n"/>
      <c r="I11" s="218" t="n"/>
      <c r="J11" s="218" t="n"/>
      <c r="K11" s="218" t="n"/>
      <c r="L11" s="218" t="n"/>
      <c r="M11" s="218" t="n"/>
      <c r="N11" s="218" t="n"/>
      <c r="O11" s="218" t="n"/>
      <c r="P11" s="218" t="n"/>
      <c r="Q11" s="218" t="n"/>
      <c r="R11" s="218" t="n"/>
      <c r="S11" s="218" t="n"/>
      <c r="T11" s="218" t="n"/>
      <c r="U11" s="218" t="n"/>
      <c r="V11" s="218" t="n"/>
      <c r="W11" s="218" t="n"/>
      <c r="X11" s="218" t="n"/>
      <c r="Y11" s="218" t="n"/>
      <c r="Z11" s="218" t="n"/>
      <c r="AA11" s="218" t="n"/>
      <c r="AB11" s="218" t="n"/>
      <c r="AC11" s="218" t="n"/>
      <c r="AD11" s="218" t="n"/>
      <c r="AE11" s="218" t="n"/>
      <c r="AF11" s="218" t="n"/>
      <c r="AG11" s="218" t="n"/>
      <c r="AH11" s="218" t="n"/>
      <c r="AI11" s="218" t="n"/>
      <c r="AJ11" s="218" t="n"/>
      <c r="AK11" s="219" t="n"/>
    </row>
    <row r="12">
      <c r="A12" s="129" t="n"/>
      <c r="B12" s="129" t="n"/>
      <c r="C12" s="129" t="n"/>
      <c r="D12" s="129" t="n"/>
      <c r="E12" s="129" t="n"/>
      <c r="F12" s="129" t="n"/>
      <c r="G12" s="129" t="n"/>
      <c r="H12" s="129" t="n"/>
      <c r="I12" s="129" t="n"/>
      <c r="J12" s="129" t="n"/>
      <c r="K12" s="129" t="n"/>
      <c r="L12" s="129" t="n"/>
      <c r="M12" s="129" t="n"/>
      <c r="N12" s="129" t="n"/>
      <c r="O12" s="129" t="n"/>
      <c r="P12" s="129" t="n"/>
      <c r="Q12" s="129" t="n"/>
      <c r="R12" s="129" t="n"/>
      <c r="S12" s="129" t="n"/>
      <c r="T12" s="129" t="n"/>
      <c r="U12" s="129" t="n"/>
      <c r="V12" s="129" t="n"/>
      <c r="W12" s="129" t="n"/>
      <c r="X12" s="129" t="n"/>
      <c r="Y12" s="129" t="n"/>
      <c r="Z12" s="129" t="n"/>
      <c r="AA12" s="129" t="n"/>
      <c r="AB12" s="129" t="n"/>
      <c r="AC12" s="129" t="n"/>
      <c r="AD12" s="129" t="n"/>
      <c r="AE12" s="129" t="n"/>
      <c r="AF12" s="129" t="n"/>
      <c r="AG12" s="129" t="n"/>
      <c r="AH12" s="129" t="n"/>
      <c r="AI12" s="129" t="n"/>
      <c r="AJ12" s="129" t="n"/>
      <c r="AK12" s="129" t="n"/>
    </row>
    <row r="13">
      <c r="A13" s="164" t="inlineStr">
        <is>
          <t>Cash, beginning of period ($M)</t>
        </is>
      </c>
      <c r="B13" s="169" t="inlineStr">
        <is>
          <t>n/a</t>
        </is>
      </c>
      <c r="C13" s="177">
        <f>BS!B9</f>
        <v>40760</v>
      </c>
      <c r="D13" s="177">
        <f>BS!C9</f>
        <v>32695</v>
      </c>
      <c r="E13" s="177">
        <f>BS!D9</f>
        <v>25565</v>
      </c>
      <c r="F13" s="177">
        <f>BS!E9</f>
        <v>29943</v>
      </c>
      <c r="G13" s="177">
        <f>BS!F9</f>
        <v>30299</v>
      </c>
      <c r="H13" s="177">
        <f>BS!G9</f>
        <v>28162</v>
      </c>
      <c r="I13" s="177">
        <f>BS!H9</f>
        <v>36269</v>
      </c>
      <c r="J13" s="177">
        <f>BS!I9</f>
        <v>35934</v>
      </c>
      <c r="K13" s="177">
        <f>BS!J9</f>
        <v>45317</v>
      </c>
      <c r="L13" s="146">
        <f>BS!I9</f>
        <v>35934</v>
      </c>
      <c r="M13" s="146">
        <f>BS!L9</f>
        <v>34880.1177367741</v>
      </c>
      <c r="N13" s="146">
        <f>BS!M9</f>
        <v>32705.4366886616</v>
      </c>
      <c r="O13" s="146">
        <f>BS!N9</f>
        <v>31259.7469684391</v>
      </c>
      <c r="P13" s="171">
        <f>BS!I9</f>
        <v>35934</v>
      </c>
      <c r="Q13" s="177">
        <f>BS!I9</f>
        <v>35934</v>
      </c>
      <c r="R13" s="129" t="n"/>
      <c r="S13" s="129" t="n"/>
      <c r="T13" s="146">
        <f>BS!L9</f>
        <v>34880.1177367741</v>
      </c>
      <c r="U13" s="146">
        <f>BS!T9</f>
        <v>32660.7157489658</v>
      </c>
      <c r="V13" s="146">
        <f>BS!U9</f>
        <v>31112.1840368224</v>
      </c>
      <c r="W13" s="171">
        <f>BS!I9</f>
        <v>35934</v>
      </c>
      <c r="X13" s="129" t="n"/>
      <c r="Y13" s="177">
        <f>BS!J9</f>
        <v>45317</v>
      </c>
      <c r="Z13" s="129" t="n"/>
      <c r="AA13" s="129" t="n"/>
      <c r="AB13" s="146">
        <f>BS!T9</f>
        <v>32660.7157489658</v>
      </c>
      <c r="AC13" s="146">
        <f>BS!AB9</f>
        <v>31063.8644651261</v>
      </c>
      <c r="AD13" s="171">
        <f>BS!I9</f>
        <v>35934</v>
      </c>
      <c r="AE13" s="129" t="n"/>
      <c r="AF13" s="146">
        <f>BS!AC9</f>
        <v>29784.5481828373</v>
      </c>
      <c r="AG13" s="146">
        <f>BS!AF9</f>
        <v>28642.8299696136</v>
      </c>
      <c r="AH13" s="146">
        <f>BS!AG9</f>
        <v>26306.0228079247</v>
      </c>
      <c r="AI13" s="146">
        <f>BS!AH9</f>
        <v>24736.3525991844</v>
      </c>
      <c r="AJ13" s="171">
        <f>BS!AC9</f>
        <v>29784.5481828373</v>
      </c>
      <c r="AK13" s="129" t="n"/>
    </row>
    <row r="14">
      <c r="A14" s="164" t="inlineStr">
        <is>
          <t>OPERATING ACTIVITIES</t>
        </is>
      </c>
      <c r="B14" s="129" t="n"/>
      <c r="C14" s="129" t="n"/>
      <c r="D14" s="129" t="n"/>
      <c r="E14" s="129" t="n"/>
      <c r="F14" s="129" t="n"/>
      <c r="G14" s="129" t="n"/>
      <c r="H14" s="129" t="n"/>
      <c r="I14" s="129" t="n"/>
      <c r="J14" s="129" t="n"/>
      <c r="K14" s="129" t="n"/>
      <c r="L14" s="129" t="n"/>
      <c r="M14" s="129" t="n"/>
      <c r="N14" s="129" t="n"/>
      <c r="O14" s="129" t="n"/>
      <c r="P14" s="129" t="n"/>
      <c r="Q14" s="129" t="n"/>
      <c r="R14" s="129" t="n"/>
      <c r="S14" s="129" t="n"/>
      <c r="T14" s="129" t="n"/>
      <c r="U14" s="129" t="n"/>
      <c r="V14" s="129" t="n"/>
      <c r="W14" s="129" t="n"/>
      <c r="X14" s="129" t="n"/>
      <c r="Y14" s="129" t="n"/>
      <c r="Z14" s="129" t="n"/>
      <c r="AA14" s="129" t="n"/>
      <c r="AB14" s="129" t="n"/>
      <c r="AC14" s="129" t="n"/>
      <c r="AD14" s="129" t="n"/>
      <c r="AE14" s="129" t="n"/>
      <c r="AF14" s="129" t="n"/>
      <c r="AG14" s="129" t="n"/>
      <c r="AH14" s="129" t="n"/>
      <c r="AI14" s="129" t="n"/>
      <c r="AJ14" s="129" t="n"/>
      <c r="AK14" s="129" t="n"/>
    </row>
    <row r="15">
      <c r="A15" s="127" t="inlineStr">
        <is>
          <t>Net income ($M)</t>
        </is>
      </c>
      <c r="B15" s="177">
        <f>IS!B53</f>
        <v>33916</v>
      </c>
      <c r="C15" s="177">
        <f>IS!C53</f>
        <v>23636</v>
      </c>
      <c r="D15" s="177">
        <f>IS!D53</f>
        <v>21448</v>
      </c>
      <c r="E15" s="177">
        <f>IS!E53</f>
        <v>14736</v>
      </c>
      <c r="F15" s="177">
        <f>IS!F53</f>
        <v>36330</v>
      </c>
      <c r="G15" s="177">
        <f>IS!G53</f>
        <v>24780</v>
      </c>
      <c r="H15" s="177">
        <f>IS!H53</f>
        <v>23434</v>
      </c>
      <c r="I15" s="177">
        <f>IS!I53</f>
        <v>27466</v>
      </c>
      <c r="J15" s="177">
        <f>IS!J53</f>
        <v>42097</v>
      </c>
      <c r="K15" s="177">
        <f>IS!K53</f>
        <v>29578</v>
      </c>
      <c r="L15" s="146">
        <f>IS!L53</f>
        <v>36750.7778084036</v>
      </c>
      <c r="M15" s="146">
        <f>IS!M53</f>
        <v>28041.4800582512</v>
      </c>
      <c r="N15" s="146">
        <f>IS!N53</f>
        <v>27074.5328437562</v>
      </c>
      <c r="O15" s="146">
        <f>IS!O53</f>
        <v>29729.197941951</v>
      </c>
      <c r="P15" s="171">
        <f>L15+M15+N15+O15</f>
        <v>121595.988652362</v>
      </c>
      <c r="Q15" s="177">
        <f>IS!Q53</f>
        <v>42097</v>
      </c>
      <c r="R15" s="129" t="n"/>
      <c r="S15" s="129" t="n"/>
      <c r="T15" s="146">
        <f>IS!T53</f>
        <v>30125.657208363</v>
      </c>
      <c r="U15" s="146">
        <f>IS!U53</f>
        <v>29086.8418440546</v>
      </c>
      <c r="V15" s="146">
        <f>IS!V53</f>
        <v>31938.8143713639</v>
      </c>
      <c r="W15" s="171">
        <f>Q15+T15+U15+V15</f>
        <v>133248.313423781</v>
      </c>
      <c r="X15" s="129" t="n"/>
      <c r="Y15" s="177">
        <f>IS!Y53</f>
        <v>29578</v>
      </c>
      <c r="Z15" s="129" t="n"/>
      <c r="AA15" s="129" t="n"/>
      <c r="AB15" s="146">
        <f>IS!AB53</f>
        <v>27258.920350902</v>
      </c>
      <c r="AC15" s="146">
        <f>IS!AC53</f>
        <v>29931.6646928861</v>
      </c>
      <c r="AD15" s="171">
        <f>Q15+Y15+AB15+AC15</f>
        <v>128865.585043788</v>
      </c>
      <c r="AE15" s="129" t="n"/>
      <c r="AF15" s="146">
        <f>IS!AF53</f>
        <v>39987.8554406477</v>
      </c>
      <c r="AG15" s="146">
        <f>IS!AG53</f>
        <v>30511.4263637366</v>
      </c>
      <c r="AH15" s="146">
        <f>IS!AH53</f>
        <v>29459.3086199015</v>
      </c>
      <c r="AI15" s="146">
        <f>IS!AI53</f>
        <v>32347.8016129852</v>
      </c>
      <c r="AJ15" s="171">
        <f>AF15+AG15+AH15+AI15</f>
        <v>132306.392037271</v>
      </c>
      <c r="AK15" s="129" t="n"/>
    </row>
    <row r="16">
      <c r="A16" s="127" t="inlineStr">
        <is>
          <t>Add: Depreciation and amortization ($M)</t>
        </is>
      </c>
      <c r="B16" s="169" t="inlineStr">
        <is>
          <t>n/a</t>
        </is>
      </c>
      <c r="C16" s="169" t="inlineStr">
        <is>
          <t>n/a</t>
        </is>
      </c>
      <c r="D16" s="170" t="inlineStr">
        <is>
          <t>n/a</t>
        </is>
      </c>
      <c r="E16" s="170" t="inlineStr">
        <is>
          <t>n/a</t>
        </is>
      </c>
      <c r="F16" s="170" t="inlineStr">
        <is>
          <t>n/a</t>
        </is>
      </c>
      <c r="G16" s="170" t="inlineStr">
        <is>
          <t>n/a</t>
        </is>
      </c>
      <c r="H16" s="170" t="inlineStr">
        <is>
          <t>n/a</t>
        </is>
      </c>
      <c r="I16" s="170" t="inlineStr">
        <is>
          <t>n/a</t>
        </is>
      </c>
      <c r="J16" s="170" t="inlineStr">
        <is>
          <t>n/a</t>
        </is>
      </c>
      <c r="K16" s="170" t="inlineStr">
        <is>
          <t>n/a</t>
        </is>
      </c>
      <c r="L16" s="146">
        <f>$C$9*IS!L41</f>
        <v>3897.96986041695</v>
      </c>
      <c r="M16" s="146">
        <f>$C$9*IS!M41</f>
        <v>2974.21852343903</v>
      </c>
      <c r="N16" s="146">
        <f>$C$9*IS!N41</f>
        <v>2871.65930364875</v>
      </c>
      <c r="O16" s="146">
        <f>$C$9*IS!O41</f>
        <v>3153.22625703982</v>
      </c>
      <c r="P16" s="171">
        <f>L16+M16+N16+O16</f>
        <v>12897.0739445446</v>
      </c>
      <c r="Q16" s="170" t="inlineStr">
        <is>
          <t>n/a</t>
        </is>
      </c>
      <c r="R16" s="129" t="n"/>
      <c r="S16" s="129" t="n"/>
      <c r="T16" s="146">
        <f>$C$9*IS!T41</f>
        <v>3046.22809860173</v>
      </c>
      <c r="U16" s="146">
        <f>$C$9*IS!U41</f>
        <v>2941.18579097244</v>
      </c>
      <c r="V16" s="146">
        <f>$C$9*IS!V41</f>
        <v>3229.56983481392</v>
      </c>
      <c r="W16" s="143" t="inlineStr">
        <is>
          <t>n/a (blends a real FY2026 actual quarter -- which lacks quarterly D&amp;A/CapEx/debt-roll disclosure and whose successor quarter's own roll-forward prior is NOT this actual quarter -- with modeled quarters; see the individual quarter columns for full detail)</t>
        </is>
      </c>
      <c r="X16" s="129" t="n"/>
      <c r="Y16" s="170" t="inlineStr">
        <is>
          <t>n/a</t>
        </is>
      </c>
      <c r="Z16" s="129" t="n"/>
      <c r="AA16" s="129" t="n"/>
      <c r="AB16" s="146">
        <f>$C$9*IS!AB41</f>
        <v>2987.95556454786</v>
      </c>
      <c r="AC16" s="146">
        <f>$C$9*IS!AC41</f>
        <v>3280.92539704458</v>
      </c>
      <c r="AD16" s="143" t="inlineStr">
        <is>
          <t>n/a (blends a real FY2026 actual quarter -- which lacks quarterly D&amp;A/CapEx/debt-roll disclosure and whose successor quarter's own roll-forward prior is NOT this actual quarter -- with modeled quarters; see the individual quarter columns for full detail)</t>
        </is>
      </c>
      <c r="AE16" s="129" t="n"/>
      <c r="AF16" s="146">
        <f>$C$9*IS!AF41</f>
        <v>4183.44962928424</v>
      </c>
      <c r="AG16" s="146">
        <f>$C$9*IS!AG41</f>
        <v>3192.04453211457</v>
      </c>
      <c r="AH16" s="146">
        <f>$C$9*IS!AH41</f>
        <v>3081.97407354889</v>
      </c>
      <c r="AI16" s="146">
        <f>$C$9*IS!AI41</f>
        <v>3384.16244569207</v>
      </c>
      <c r="AJ16" s="171">
        <f>AF16+AG16+AH16+AI16</f>
        <v>13841.6306806398</v>
      </c>
      <c r="AK16" s="129" t="n"/>
    </row>
    <row r="17">
      <c r="A17" s="127" t="inlineStr">
        <is>
          <t>(Increase)/decrease in accounts receivable ($M)</t>
        </is>
      </c>
      <c r="B17" s="169" t="inlineStr">
        <is>
          <t>n/a</t>
        </is>
      </c>
      <c r="C17" s="177">
        <f>-(BS!C11-BS!B11)</f>
        <v>1357</v>
      </c>
      <c r="D17" s="177">
        <f>-(BS!D11-BS!C11)</f>
        <v>-958</v>
      </c>
      <c r="E17" s="177">
        <f>-(BS!E11-BS!D11)</f>
        <v>-10615</v>
      </c>
      <c r="F17" s="177">
        <f>-(BS!F11-BS!E11)</f>
        <v>3771</v>
      </c>
      <c r="G17" s="177">
        <f>-(BS!G11-BS!F11)</f>
        <v>3503</v>
      </c>
      <c r="H17" s="177">
        <f>-(BS!H11-BS!G11)</f>
        <v>-1421</v>
      </c>
      <c r="I17" s="177">
        <f>-(BS!I11-BS!H11)</f>
        <v>-12220</v>
      </c>
      <c r="J17" s="177">
        <f>-(BS!J11-BS!I11)</f>
        <v>-144</v>
      </c>
      <c r="K17" s="177">
        <f>-(BS!K11-BS!J11)</f>
        <v>9582</v>
      </c>
      <c r="L17" s="146">
        <f>-(BS!L11-BS!I11)</f>
        <v>-9024.21761498835</v>
      </c>
      <c r="M17" s="146">
        <f>-(BS!M11-BS!L11)</f>
        <v>11565.0432487372</v>
      </c>
      <c r="N17" s="146">
        <f>-(BS!N11-BS!M11)</f>
        <v>1284.00551636724</v>
      </c>
      <c r="O17" s="146">
        <f>-(BS!O11-BS!N11)</f>
        <v>-3525.11965399269</v>
      </c>
      <c r="P17" s="171">
        <f>L17+M17+N17+O17</f>
        <v>299.711496123411</v>
      </c>
      <c r="Q17" s="177">
        <f>-(BS!Q11-BS!I11)</f>
        <v>-144</v>
      </c>
      <c r="R17" s="129" t="n"/>
      <c r="S17" s="129" t="n"/>
      <c r="T17" s="146">
        <f>-(BS!T11-BS!L11)</f>
        <v>10663.5085848694</v>
      </c>
      <c r="U17" s="146">
        <f>-(BS!U11-BS!T11)</f>
        <v>1315.09290655443</v>
      </c>
      <c r="V17" s="146">
        <f>-(BS!V11-BS!U11)</f>
        <v>-3610.46723914194</v>
      </c>
      <c r="W17" s="143" t="inlineStr">
        <is>
          <t>n/a (blends a real FY2026 actual quarter -- which lacks quarterly D&amp;A/CapEx/debt-roll disclosure and whose successor quarter's own roll-forward prior is NOT this actual quarter -- with modeled quarters; see the individual quarter columns for full detail)</t>
        </is>
      </c>
      <c r="X17" s="129" t="n"/>
      <c r="Y17" s="177">
        <f>-(BS!Y11-BS!J11)</f>
        <v>9582</v>
      </c>
      <c r="Z17" s="129" t="n"/>
      <c r="AA17" s="129" t="n"/>
      <c r="AB17" s="146">
        <f>-(BS!AB11-BS!T11)</f>
        <v>729.551719785624</v>
      </c>
      <c r="AC17" s="146">
        <f>-(BS!AC11-BS!AB11)</f>
        <v>-3667.8797071997</v>
      </c>
      <c r="AD17" s="143" t="inlineStr">
        <is>
          <t>n/a (blends a real FY2026 actual quarter -- which lacks quarterly D&amp;A/CapEx/debt-roll disclosure and whose successor quarter's own roll-forward prior is NOT this actual quarter -- with modeled quarters; see the individual quarter columns for full detail)</t>
        </is>
      </c>
      <c r="AE17" s="129" t="n"/>
      <c r="AF17" s="146">
        <f>-(BS!AF11-BS!AC11)</f>
        <v>-11299.2873309741</v>
      </c>
      <c r="AG17" s="146">
        <f>-(BS!AG11-BS!AF11)</f>
        <v>12412.0446345398</v>
      </c>
      <c r="AH17" s="146">
        <f>-(BS!AH11-BS!AG11)</f>
        <v>1378.04359546044</v>
      </c>
      <c r="AI17" s="146">
        <f>-(BS!AI11-BS!AH11)</f>
        <v>-3783.29259531546</v>
      </c>
      <c r="AJ17" s="171">
        <f>AF17+AG17+AH17+AI17</f>
        <v>-1292.49169628932</v>
      </c>
      <c r="AK17" s="129" t="n"/>
    </row>
    <row r="18">
      <c r="A18" s="127" t="inlineStr">
        <is>
          <t>(Increase)/decrease in inventories ($M)</t>
        </is>
      </c>
      <c r="B18" s="169" t="inlineStr">
        <is>
          <t>n/a</t>
        </is>
      </c>
      <c r="C18" s="177">
        <f>-(BS!C13-BS!B13)</f>
        <v>279</v>
      </c>
      <c r="D18" s="177">
        <f>-(BS!D13-BS!C13)</f>
        <v>67</v>
      </c>
      <c r="E18" s="177">
        <f>-(BS!E13-BS!D13)</f>
        <v>-1121</v>
      </c>
      <c r="F18" s="177">
        <f>-(BS!F13-BS!E13)</f>
        <v>375</v>
      </c>
      <c r="G18" s="177">
        <f>-(BS!G13-BS!F13)</f>
        <v>642</v>
      </c>
      <c r="H18" s="177">
        <f>-(BS!H13-BS!G13)</f>
        <v>344</v>
      </c>
      <c r="I18" s="177">
        <f>-(BS!I13-BS!H13)</f>
        <v>207</v>
      </c>
      <c r="J18" s="177">
        <f>-(BS!J13-BS!I13)</f>
        <v>-157</v>
      </c>
      <c r="K18" s="177">
        <f>-(BS!K13-BS!J13)</f>
        <v>-872</v>
      </c>
      <c r="L18" s="146">
        <f>-(BS!L13-BS!I13)</f>
        <v>-2005.58484974156</v>
      </c>
      <c r="M18" s="146">
        <f>-(BS!M13-BS!L13)</f>
        <v>1830.35582282518</v>
      </c>
      <c r="N18" s="146">
        <f>-(BS!N13-BS!M13)</f>
        <v>203.214715490063</v>
      </c>
      <c r="O18" s="146">
        <f>-(BS!O13-BS!N13)</f>
        <v>-557.907406489424</v>
      </c>
      <c r="P18" s="171">
        <f>L18+M18+N18+O18</f>
        <v>-529.92171791574</v>
      </c>
      <c r="Q18" s="177">
        <f>-(BS!Q13-BS!I13)</f>
        <v>-157</v>
      </c>
      <c r="R18" s="129" t="n"/>
      <c r="S18" s="129" t="n"/>
      <c r="T18" s="146">
        <f>-(BS!T13-BS!L13)</f>
        <v>1687.67332817309</v>
      </c>
      <c r="U18" s="146">
        <f>-(BS!U13-BS!T13)</f>
        <v>208.134799610961</v>
      </c>
      <c r="V18" s="146">
        <f>-(BS!V13-BS!U13)</f>
        <v>-571.415047237685</v>
      </c>
      <c r="W18" s="143" t="inlineStr">
        <is>
          <t>n/a (blends a real FY2026 actual quarter -- which lacks quarterly D&amp;A/CapEx/debt-roll disclosure and whose successor quarter's own roll-forward prior is NOT this actual quarter -- with modeled quarters; see the individual quarter columns for full detail)</t>
        </is>
      </c>
      <c r="X18" s="129" t="n"/>
      <c r="Y18" s="177">
        <f>-(BS!Y13-BS!J13)</f>
        <v>-872</v>
      </c>
      <c r="Z18" s="129" t="n"/>
      <c r="AA18" s="129" t="n"/>
      <c r="AB18" s="146">
        <f>-(BS!AB13-BS!T13)</f>
        <v>285.323098188583</v>
      </c>
      <c r="AC18" s="146">
        <f>-(BS!AC13-BS!AB13)</f>
        <v>-563.846714169646</v>
      </c>
      <c r="AD18" s="143" t="inlineStr">
        <is>
          <t>n/a (blends a real FY2026 actual quarter -- which lacks quarterly D&amp;A/CapEx/debt-roll disclosure and whose successor quarter's own roll-forward prior is NOT this actual quarter -- with modeled quarters; see the individual quarter columns for full detail)</t>
        </is>
      </c>
      <c r="AE18" s="129" t="n"/>
      <c r="AF18" s="146">
        <f>-(BS!AF13-BS!AC13)</f>
        <v>-1902.65115239129</v>
      </c>
      <c r="AG18" s="146">
        <f>-(BS!AG13-BS!AF13)</f>
        <v>1947.3071158082</v>
      </c>
      <c r="AH18" s="146">
        <f>-(BS!AH13-BS!AG13)</f>
        <v>216.199198306665</v>
      </c>
      <c r="AI18" s="146">
        <f>-(BS!AI13-BS!AH13)</f>
        <v>-593.555115934809</v>
      </c>
      <c r="AJ18" s="171">
        <f>AF18+AG18+AH18+AI18</f>
        <v>-332.699954211236</v>
      </c>
      <c r="AK18" s="129" t="n"/>
    </row>
    <row r="19">
      <c r="A19" s="127" t="inlineStr">
        <is>
          <t>Increase/(decrease) in accounts payable ($M)</t>
        </is>
      </c>
      <c r="B19" s="169" t="inlineStr">
        <is>
          <t>n/a</t>
        </is>
      </c>
      <c r="C19" s="177">
        <f>(BS!C22-BS!B22)</f>
        <v>-12393</v>
      </c>
      <c r="D19" s="177">
        <f>(BS!D22-BS!C22)</f>
        <v>1821</v>
      </c>
      <c r="E19" s="177">
        <f>(BS!E22-BS!D22)</f>
        <v>21386</v>
      </c>
      <c r="F19" s="177">
        <f>(BS!F22-BS!E22)</f>
        <v>-7050</v>
      </c>
      <c r="G19" s="177">
        <f>(BS!G22-BS!F22)</f>
        <v>-7784</v>
      </c>
      <c r="H19" s="177">
        <f>(BS!H22-BS!G22)</f>
        <v>-3752</v>
      </c>
      <c r="I19" s="177">
        <f>(BS!I22-BS!H22)</f>
        <v>19486</v>
      </c>
      <c r="J19" s="177">
        <f>(BS!J22-BS!I22)</f>
        <v>727</v>
      </c>
      <c r="K19" s="177">
        <f>(BS!K22-BS!J22)</f>
        <v>-13238</v>
      </c>
      <c r="L19" s="146">
        <f>(BS!L22-BS!I22)</f>
        <v>18961.2257720279</v>
      </c>
      <c r="M19" s="146">
        <f>(BS!M22-BS!L22)</f>
        <v>-21049.0919624896</v>
      </c>
      <c r="N19" s="146">
        <f>(BS!N22-BS!M22)</f>
        <v>-2336.96922813573</v>
      </c>
      <c r="O19" s="146">
        <f>(BS!O22-BS!N22)</f>
        <v>6415.93517462836</v>
      </c>
      <c r="P19" s="171">
        <f>L19+M19+N19+O19</f>
        <v>1991.09975603101</v>
      </c>
      <c r="Q19" s="177">
        <f>(BS!Q22-BS!I22)</f>
        <v>727</v>
      </c>
      <c r="R19" s="129" t="n"/>
      <c r="S19" s="129" t="n"/>
      <c r="T19" s="146">
        <f>(BS!T22-BS!L22)</f>
        <v>-19408.2432739905</v>
      </c>
      <c r="U19" s="146">
        <f>(BS!U22-BS!T22)</f>
        <v>-2393.55019552606</v>
      </c>
      <c r="V19" s="146">
        <f>(BS!V22-BS!U22)</f>
        <v>6571.27304323338</v>
      </c>
      <c r="W19" s="143" t="inlineStr">
        <is>
          <t>n/a (blends a real FY2026 actual quarter -- which lacks quarterly D&amp;A/CapEx/debt-roll disclosure and whose successor quarter's own roll-forward prior is NOT this actual quarter -- with modeled quarters; see the individual quarter columns for full detail)</t>
        </is>
      </c>
      <c r="X19" s="129" t="n"/>
      <c r="Y19" s="177">
        <f>(BS!Y22-BS!J22)</f>
        <v>-13238</v>
      </c>
      <c r="Z19" s="129" t="n"/>
      <c r="AA19" s="129" t="n"/>
      <c r="AB19" s="146">
        <f>(BS!AB22-BS!T22)</f>
        <v>-3281.21562916871</v>
      </c>
      <c r="AC19" s="146">
        <f>(BS!AC22-BS!AB22)</f>
        <v>6484.23721295093</v>
      </c>
      <c r="AD19" s="143" t="inlineStr">
        <is>
          <t>n/a (blends a real FY2026 actual quarter -- which lacks quarterly D&amp;A/CapEx/debt-roll disclosure and whose successor quarter's own roll-forward prior is NOT this actual quarter -- with modeled quarters; see the individual quarter columns for full detail)</t>
        </is>
      </c>
      <c r="AE19" s="129" t="n"/>
      <c r="AF19" s="146">
        <f>(BS!AF22-BS!AC22)</f>
        <v>21880.4882524999</v>
      </c>
      <c r="AG19" s="146">
        <f>(BS!AG22-BS!AF22)</f>
        <v>-22394.0318317943</v>
      </c>
      <c r="AH19" s="146">
        <f>(BS!AH22-BS!AG22)</f>
        <v>-2486.29078052664</v>
      </c>
      <c r="AI19" s="146">
        <f>(BS!AI22-BS!AH22)</f>
        <v>6825.88383325031</v>
      </c>
      <c r="AJ19" s="171">
        <f>AF19+AG19+AH19+AI19</f>
        <v>3826.04947342923</v>
      </c>
      <c r="AK19" s="129" t="n"/>
    </row>
    <row r="20">
      <c r="A20" s="164" t="inlineStr">
        <is>
          <t>Cash generated by/(used in) operating activities ($M)</t>
        </is>
      </c>
      <c r="B20" s="169" t="inlineStr">
        <is>
          <t>n/a</t>
        </is>
      </c>
      <c r="C20" s="169" t="inlineStr">
        <is>
          <t>n/a</t>
        </is>
      </c>
      <c r="D20" s="170" t="inlineStr">
        <is>
          <t>n/a</t>
        </is>
      </c>
      <c r="E20" s="170" t="inlineStr">
        <is>
          <t>n/a</t>
        </is>
      </c>
      <c r="F20" s="170" t="inlineStr">
        <is>
          <t>n/a</t>
        </is>
      </c>
      <c r="G20" s="170" t="inlineStr">
        <is>
          <t>n/a</t>
        </is>
      </c>
      <c r="H20" s="170" t="inlineStr">
        <is>
          <t>n/a</t>
        </is>
      </c>
      <c r="I20" s="170" t="inlineStr">
        <is>
          <t>n/a</t>
        </is>
      </c>
      <c r="J20" s="170" t="inlineStr">
        <is>
          <t>n/a</t>
        </is>
      </c>
      <c r="K20" s="170" t="inlineStr">
        <is>
          <t>n/a</t>
        </is>
      </c>
      <c r="L20" s="171">
        <f>L15+L16+L17+L18+L19</f>
        <v>48580.1709761186</v>
      </c>
      <c r="M20" s="171">
        <f>M15+M16+M17+M18+M19</f>
        <v>23362.005690763</v>
      </c>
      <c r="N20" s="171">
        <f>N15+N16+N17+N18+N19</f>
        <v>29096.4431511265</v>
      </c>
      <c r="O20" s="171">
        <f>O15+O16+O17+O18+O19</f>
        <v>35215.3323131371</v>
      </c>
      <c r="P20" s="171">
        <f>P15+P16+P17+P18+P19</f>
        <v>136253.952131145</v>
      </c>
      <c r="Q20" s="170" t="inlineStr">
        <is>
          <t>n/a</t>
        </is>
      </c>
      <c r="R20" s="129" t="n"/>
      <c r="S20" s="129" t="n"/>
      <c r="T20" s="171">
        <f>T15+T16+T17+T18+T19</f>
        <v>26114.8239460167</v>
      </c>
      <c r="U20" s="171">
        <f>U15+U16+U17+U18+U19</f>
        <v>31157.7051456664</v>
      </c>
      <c r="V20" s="171">
        <f>V15+V16+V17+V18+V19</f>
        <v>37557.7749630316</v>
      </c>
      <c r="W20" s="143" t="inlineStr">
        <is>
          <t>n/a (blends a real FY2026 actual quarter -- which lacks quarterly D&amp;A/CapEx/debt-roll disclosure and whose successor quarter's own roll-forward prior is NOT this actual quarter -- with modeled quarters; see the individual quarter columns for full detail)</t>
        </is>
      </c>
      <c r="X20" s="129" t="n"/>
      <c r="Y20" s="170" t="inlineStr">
        <is>
          <t>n/a</t>
        </is>
      </c>
      <c r="Z20" s="129" t="n"/>
      <c r="AA20" s="129" t="n"/>
      <c r="AB20" s="171">
        <f>AB15+AB16+AB17+AB18+AB19</f>
        <v>27980.5351042553</v>
      </c>
      <c r="AC20" s="171">
        <f>AC15+AC16+AC17+AC18+AC19</f>
        <v>35465.1008815123</v>
      </c>
      <c r="AD20" s="143" t="inlineStr">
        <is>
          <t>n/a (blends a real FY2026 actual quarter -- which lacks quarterly D&amp;A/CapEx/debt-roll disclosure and whose successor quarter's own roll-forward prior is NOT this actual quarter -- with modeled quarters; see the individual quarter columns for full detail)</t>
        </is>
      </c>
      <c r="AE20" s="129" t="n"/>
      <c r="AF20" s="171">
        <f>AF15+AF16+AF17+AF18+AF19</f>
        <v>52849.8548390664</v>
      </c>
      <c r="AG20" s="171">
        <f>AG15+AG16+AG17+AG18+AG19</f>
        <v>25668.7908144048</v>
      </c>
      <c r="AH20" s="171">
        <f>AH15+AH16+AH17+AH18+AH19</f>
        <v>31649.2347066908</v>
      </c>
      <c r="AI20" s="171">
        <f>AI15+AI16+AI17+AI18+AI19</f>
        <v>38181.0001806773</v>
      </c>
      <c r="AJ20" s="171">
        <f>AJ15+AJ16+AJ17+AJ18+AJ19</f>
        <v>148348.880540839</v>
      </c>
      <c r="AK20" s="129" t="n"/>
    </row>
    <row r="21">
      <c r="A21" s="164" t="inlineStr">
        <is>
          <t>INVESTING ACTIVITIES</t>
        </is>
      </c>
      <c r="B21" s="129" t="n"/>
      <c r="C21" s="129" t="n"/>
      <c r="D21" s="129" t="n"/>
      <c r="E21" s="129" t="n"/>
      <c r="F21" s="129" t="n"/>
      <c r="G21" s="129" t="n"/>
      <c r="H21" s="129" t="n"/>
      <c r="I21" s="129" t="n"/>
      <c r="J21" s="129" t="n"/>
      <c r="K21" s="129" t="n"/>
      <c r="L21" s="129" t="n"/>
      <c r="M21" s="129" t="n"/>
      <c r="N21" s="129" t="n"/>
      <c r="O21" s="129" t="n"/>
      <c r="P21" s="129" t="n"/>
      <c r="Q21" s="129" t="n"/>
      <c r="R21" s="129" t="n"/>
      <c r="S21" s="129" t="n"/>
      <c r="T21" s="129" t="n"/>
      <c r="U21" s="129" t="n"/>
      <c r="V21" s="129" t="n"/>
      <c r="W21" s="129" t="n"/>
      <c r="X21" s="129" t="n"/>
      <c r="Y21" s="129" t="n"/>
      <c r="Z21" s="129" t="n"/>
      <c r="AA21" s="129" t="n"/>
      <c r="AB21" s="129" t="n"/>
      <c r="AC21" s="129" t="n"/>
      <c r="AD21" s="129" t="n"/>
      <c r="AE21" s="129" t="n"/>
      <c r="AF21" s="129" t="n"/>
      <c r="AG21" s="129" t="n"/>
      <c r="AH21" s="129" t="n"/>
      <c r="AI21" s="129" t="n"/>
      <c r="AJ21" s="129" t="n"/>
      <c r="AK21" s="129" t="n"/>
    </row>
    <row r="22">
      <c r="A22" s="127" t="inlineStr">
        <is>
          <t>Capital expenditures (CapEx) ($M)</t>
        </is>
      </c>
      <c r="B22" s="169" t="inlineStr">
        <is>
          <t>n/a</t>
        </is>
      </c>
      <c r="C22" s="169" t="inlineStr">
        <is>
          <t>n/a</t>
        </is>
      </c>
      <c r="D22" s="170" t="inlineStr">
        <is>
          <t>n/a</t>
        </is>
      </c>
      <c r="E22" s="170" t="inlineStr">
        <is>
          <t>n/a</t>
        </is>
      </c>
      <c r="F22" s="170" t="inlineStr">
        <is>
          <t>n/a</t>
        </is>
      </c>
      <c r="G22" s="170" t="inlineStr">
        <is>
          <t>n/a</t>
        </is>
      </c>
      <c r="H22" s="170" t="inlineStr">
        <is>
          <t>n/a</t>
        </is>
      </c>
      <c r="I22" s="170" t="inlineStr">
        <is>
          <t>n/a</t>
        </is>
      </c>
      <c r="J22" s="170" t="inlineStr">
        <is>
          <t>n/a</t>
        </is>
      </c>
      <c r="K22" s="170" t="inlineStr">
        <is>
          <t>n/a</t>
        </is>
      </c>
      <c r="L22" s="146">
        <f>-CapEx_Pct_Rev_Active*IS!L41</f>
        <v>-3992.82689577177</v>
      </c>
      <c r="M22" s="146">
        <f>-CapEx_Pct_Rev_Active*IS!M41</f>
        <v>-3046.59608451146</v>
      </c>
      <c r="N22" s="146">
        <f>-CapEx_Pct_Rev_Active*IS!N41</f>
        <v>-2941.54108771777</v>
      </c>
      <c r="O22" s="146">
        <f>-CapEx_Pct_Rev_Active*IS!O41</f>
        <v>-3229.95996849899</v>
      </c>
      <c r="P22" s="171">
        <f>L22+M22+N22+O22</f>
        <v>-13210.9240365</v>
      </c>
      <c r="Q22" s="170" t="inlineStr">
        <is>
          <t>n/a</t>
        </is>
      </c>
      <c r="R22" s="129" t="n"/>
      <c r="S22" s="129" t="n"/>
      <c r="T22" s="146">
        <f>-CapEx_Pct_Rev_Active*IS!T41</f>
        <v>-3120.35801155518</v>
      </c>
      <c r="U22" s="146">
        <f>-CapEx_Pct_Rev_Active*IS!U41</f>
        <v>-3012.75950101891</v>
      </c>
      <c r="V22" s="146">
        <f>-CapEx_Pct_Rev_Active*IS!V41</f>
        <v>-3308.16136603962</v>
      </c>
      <c r="W22" s="143" t="inlineStr">
        <is>
          <t>n/a (blends a real FY2026 actual quarter -- which lacks quarterly D&amp;A/CapEx/debt-roll disclosure and whose successor quarter's own roll-forward prior is NOT this actual quarter -- with modeled quarters; see the individual quarter columns for full detail)</t>
        </is>
      </c>
      <c r="X22" s="129" t="n"/>
      <c r="Y22" s="170" t="inlineStr">
        <is>
          <t>n/a</t>
        </is>
      </c>
      <c r="Z22" s="129" t="n"/>
      <c r="AA22" s="129" t="n"/>
      <c r="AB22" s="146">
        <f>-CapEx_Pct_Rev_Active*IS!AB41</f>
        <v>-3060.6674163</v>
      </c>
      <c r="AC22" s="146">
        <f>-CapEx_Pct_Rev_Active*IS!AC41</f>
        <v>-3360.76666507088</v>
      </c>
      <c r="AD22" s="143" t="inlineStr">
        <is>
          <t>n/a (blends a real FY2026 actual quarter -- which lacks quarterly D&amp;A/CapEx/debt-roll disclosure and whose successor quarter's own roll-forward prior is NOT this actual quarter -- with modeled quarters; see the individual quarter columns for full detail)</t>
        </is>
      </c>
      <c r="AE22" s="129" t="n"/>
      <c r="AF22" s="146">
        <f>-CapEx_Pct_Rev_Active*IS!AF41</f>
        <v>-4285.2538103324</v>
      </c>
      <c r="AG22" s="146">
        <f>-CapEx_Pct_Rev_Active*IS!AG41</f>
        <v>-3269.72288568823</v>
      </c>
      <c r="AH22" s="146">
        <f>-CapEx_Pct_Rev_Active*IS!AH41</f>
        <v>-3156.97386424147</v>
      </c>
      <c r="AI22" s="146">
        <f>-CapEx_Pct_Rev_Active*IS!AI41</f>
        <v>-3466.51598567637</v>
      </c>
      <c r="AJ22" s="171">
        <f>AF22+AG22+AH22+AI22</f>
        <v>-14178.4665459385</v>
      </c>
      <c r="AK22" s="129" t="n"/>
    </row>
    <row r="23">
      <c r="A23" s="164" t="inlineStr">
        <is>
          <t>Cash generated by/(used in) investing activities ($M)</t>
        </is>
      </c>
      <c r="B23" s="169" t="inlineStr">
        <is>
          <t>n/a</t>
        </is>
      </c>
      <c r="C23" s="169" t="inlineStr">
        <is>
          <t>n/a</t>
        </is>
      </c>
      <c r="D23" s="170" t="inlineStr">
        <is>
          <t>n/a</t>
        </is>
      </c>
      <c r="E23" s="170" t="inlineStr">
        <is>
          <t>n/a</t>
        </is>
      </c>
      <c r="F23" s="170" t="inlineStr">
        <is>
          <t>n/a</t>
        </is>
      </c>
      <c r="G23" s="170" t="inlineStr">
        <is>
          <t>n/a</t>
        </is>
      </c>
      <c r="H23" s="170" t="inlineStr">
        <is>
          <t>n/a</t>
        </is>
      </c>
      <c r="I23" s="170" t="inlineStr">
        <is>
          <t>n/a</t>
        </is>
      </c>
      <c r="J23" s="170" t="inlineStr">
        <is>
          <t>n/a</t>
        </is>
      </c>
      <c r="K23" s="170" t="inlineStr">
        <is>
          <t>n/a</t>
        </is>
      </c>
      <c r="L23" s="171">
        <f>L22</f>
        <v>-3992.82689577177</v>
      </c>
      <c r="M23" s="171">
        <f>M22</f>
        <v>-3046.59608451146</v>
      </c>
      <c r="N23" s="171">
        <f>N22</f>
        <v>-2941.54108771777</v>
      </c>
      <c r="O23" s="171">
        <f>O22</f>
        <v>-3229.95996849899</v>
      </c>
      <c r="P23" s="171">
        <f>P22</f>
        <v>-13210.9240365</v>
      </c>
      <c r="Q23" s="170" t="inlineStr">
        <is>
          <t>n/a</t>
        </is>
      </c>
      <c r="R23" s="129" t="n"/>
      <c r="S23" s="129" t="n"/>
      <c r="T23" s="171">
        <f>T22</f>
        <v>-3120.35801155518</v>
      </c>
      <c r="U23" s="171">
        <f>U22</f>
        <v>-3012.75950101891</v>
      </c>
      <c r="V23" s="171">
        <f>V22</f>
        <v>-3308.16136603962</v>
      </c>
      <c r="W23" s="143" t="inlineStr">
        <is>
          <t>n/a (blends a real FY2026 actual quarter -- which lacks quarterly D&amp;A/CapEx/debt-roll disclosure and whose successor quarter's own roll-forward prior is NOT this actual quarter -- with modeled quarters; see the individual quarter columns for full detail)</t>
        </is>
      </c>
      <c r="X23" s="129" t="n"/>
      <c r="Y23" s="170" t="inlineStr">
        <is>
          <t>n/a</t>
        </is>
      </c>
      <c r="Z23" s="129" t="n"/>
      <c r="AA23" s="129" t="n"/>
      <c r="AB23" s="171">
        <f>AB22</f>
        <v>-3060.6674163</v>
      </c>
      <c r="AC23" s="171">
        <f>AC22</f>
        <v>-3360.76666507088</v>
      </c>
      <c r="AD23" s="143" t="inlineStr">
        <is>
          <t>n/a (blends a real FY2026 actual quarter -- which lacks quarterly D&amp;A/CapEx/debt-roll disclosure and whose successor quarter's own roll-forward prior is NOT this actual quarter -- with modeled quarters; see the individual quarter columns for full detail)</t>
        </is>
      </c>
      <c r="AE23" s="129" t="n"/>
      <c r="AF23" s="171">
        <f>AF22</f>
        <v>-4285.2538103324</v>
      </c>
      <c r="AG23" s="171">
        <f>AG22</f>
        <v>-3269.72288568823</v>
      </c>
      <c r="AH23" s="171">
        <f>AH22</f>
        <v>-3156.97386424147</v>
      </c>
      <c r="AI23" s="171">
        <f>AI22</f>
        <v>-3466.51598567637</v>
      </c>
      <c r="AJ23" s="171">
        <f>AJ22</f>
        <v>-14178.4665459385</v>
      </c>
      <c r="AK23" s="129" t="n"/>
    </row>
    <row r="24">
      <c r="A24" s="164" t="inlineStr">
        <is>
          <t>FINANCING ACTIVITIES</t>
        </is>
      </c>
      <c r="B24" s="129" t="n"/>
      <c r="C24" s="129" t="n"/>
      <c r="D24" s="129" t="n"/>
      <c r="E24" s="129" t="n"/>
      <c r="F24" s="129" t="n"/>
      <c r="G24" s="129" t="n"/>
      <c r="H24" s="129" t="n"/>
      <c r="I24" s="129" t="n"/>
      <c r="J24" s="129" t="n"/>
      <c r="K24" s="129" t="n"/>
      <c r="L24" s="129" t="n"/>
      <c r="M24" s="129" t="n"/>
      <c r="N24" s="129" t="n"/>
      <c r="O24" s="129" t="n"/>
      <c r="P24" s="129" t="n"/>
      <c r="Q24" s="129" t="n"/>
      <c r="R24" s="129" t="n"/>
      <c r="S24" s="129" t="n"/>
      <c r="T24" s="129" t="n"/>
      <c r="U24" s="129" t="n"/>
      <c r="V24" s="129" t="n"/>
      <c r="W24" s="129" t="n"/>
      <c r="X24" s="129" t="n"/>
      <c r="Y24" s="129" t="n"/>
      <c r="Z24" s="129" t="n"/>
      <c r="AA24" s="129" t="n"/>
      <c r="AB24" s="129" t="n"/>
      <c r="AC24" s="129" t="n"/>
      <c r="AD24" s="129" t="n"/>
      <c r="AE24" s="129" t="n"/>
      <c r="AF24" s="129" t="n"/>
      <c r="AG24" s="129" t="n"/>
      <c r="AH24" s="129" t="n"/>
      <c r="AI24" s="129" t="n"/>
      <c r="AJ24" s="129" t="n"/>
      <c r="AK24" s="129" t="n"/>
    </row>
    <row r="25">
      <c r="A25" s="127" t="inlineStr">
        <is>
          <t>Repurchases of common stock ($M)</t>
        </is>
      </c>
      <c r="B25" s="166" t="n">
        <v>-20139</v>
      </c>
      <c r="C25" s="166" t="n">
        <v>-23205</v>
      </c>
      <c r="D25" s="166" t="n">
        <v>-26522</v>
      </c>
      <c r="E25" s="166" t="n">
        <v>-25083</v>
      </c>
      <c r="F25" s="166" t="n">
        <v>-23606</v>
      </c>
      <c r="G25" s="166" t="n">
        <v>-25898</v>
      </c>
      <c r="H25" s="166" t="n">
        <v>-21075</v>
      </c>
      <c r="I25" s="166" t="n">
        <v>-20132</v>
      </c>
      <c r="J25" s="166" t="n">
        <v>-24701</v>
      </c>
      <c r="K25" s="166" t="n">
        <v>-12288</v>
      </c>
      <c r="L25" s="146">
        <f>-Buyback_Pct_FCF_Active*L32</f>
        <v>-40128.6096723122</v>
      </c>
      <c r="M25" s="146">
        <f>-Buyback_Pct_FCF_Active*M32</f>
        <v>-18283.8686456264</v>
      </c>
      <c r="N25" s="146">
        <f>-Buyback_Pct_FCF_Active*N32</f>
        <v>-23539.4118570678</v>
      </c>
      <c r="O25" s="146">
        <f>-Buyback_Pct_FCF_Active*O32</f>
        <v>-28786.8351101743</v>
      </c>
      <c r="P25" s="171">
        <f>L25+M25+N25+O25</f>
        <v>-110738.725285181</v>
      </c>
      <c r="Q25" s="177">
        <f>J25</f>
        <v>-24701</v>
      </c>
      <c r="R25" s="129" t="n"/>
      <c r="S25" s="129" t="n"/>
      <c r="T25" s="146">
        <f>-Buyback_Pct_FCF_Active*T32</f>
        <v>-20695.0193410153</v>
      </c>
      <c r="U25" s="146">
        <f>-Buyback_Pct_FCF_Active*U32</f>
        <v>-25330.4510801827</v>
      </c>
      <c r="V25" s="146">
        <f>-Buyback_Pct_FCF_Active*V32</f>
        <v>-30824.6522372927</v>
      </c>
      <c r="W25" s="171">
        <f>Q25+T25+U25+V25</f>
        <v>-101551.122658491</v>
      </c>
      <c r="X25" s="129" t="n"/>
      <c r="Y25" s="177">
        <f>K25</f>
        <v>-12288</v>
      </c>
      <c r="Z25" s="129" t="n"/>
      <c r="AA25" s="129" t="n"/>
      <c r="AB25" s="146">
        <f>-Buyback_Pct_FCF_Active*AB32</f>
        <v>-22427.8809191598</v>
      </c>
      <c r="AC25" s="146">
        <f>-Buyback_Pct_FCF_Active*AC32</f>
        <v>-28893.9007947972</v>
      </c>
      <c r="AD25" s="171">
        <f>Q25+Y25+AB25+AC25</f>
        <v>-88310.781713957</v>
      </c>
      <c r="AE25" s="129" t="n"/>
      <c r="AF25" s="146">
        <f>-Buyback_Pct_FCF_Active*AF32</f>
        <v>-43708.1409258606</v>
      </c>
      <c r="AG25" s="146">
        <f>-Buyback_Pct_FCF_Active*AG32</f>
        <v>-20159.1611358449</v>
      </c>
      <c r="AH25" s="146">
        <f>-Buyback_Pct_FCF_Active*AH32</f>
        <v>-25643.0347582044</v>
      </c>
      <c r="AI25" s="146">
        <f>-Buyback_Pct_FCF_Active*AI32</f>
        <v>-31243.0357755008</v>
      </c>
      <c r="AJ25" s="171">
        <f>AF25+AG25+AH25+AI25</f>
        <v>-120753.372595411</v>
      </c>
      <c r="AK25" s="129" t="n"/>
    </row>
    <row r="26">
      <c r="A26" s="127" t="inlineStr">
        <is>
          <t>Dividends and dividend equivalents paid ($M)</t>
        </is>
      </c>
      <c r="B26" s="166" t="n">
        <v>-3825</v>
      </c>
      <c r="C26" s="166" t="n">
        <v>-3710</v>
      </c>
      <c r="D26" s="166" t="n">
        <v>-3895</v>
      </c>
      <c r="E26" s="166" t="n">
        <v>-3804</v>
      </c>
      <c r="F26" s="166" t="n">
        <v>-3856</v>
      </c>
      <c r="G26" s="166" t="n">
        <v>-3758</v>
      </c>
      <c r="H26" s="166" t="n">
        <v>-3945</v>
      </c>
      <c r="I26" s="166" t="n">
        <v>-3862</v>
      </c>
      <c r="J26" s="166" t="n">
        <v>-3921</v>
      </c>
      <c r="K26" s="166" t="n">
        <v>-3822</v>
      </c>
      <c r="L26" s="146">
        <f>-Dividend_Payout_Active*L15</f>
        <v>-5512.61667126055</v>
      </c>
      <c r="M26" s="146">
        <f>-Dividend_Payout_Active*M15</f>
        <v>-4206.22200873767</v>
      </c>
      <c r="N26" s="146">
        <f>-Dividend_Payout_Active*N15</f>
        <v>-4061.17992656342</v>
      </c>
      <c r="O26" s="146">
        <f>-Dividend_Payout_Active*O15</f>
        <v>-4459.37969129265</v>
      </c>
      <c r="P26" s="171">
        <f>L26+M26+N26+O26</f>
        <v>-18239.3982978543</v>
      </c>
      <c r="Q26" s="177">
        <f>J26</f>
        <v>-3921</v>
      </c>
      <c r="R26" s="129" t="n"/>
      <c r="S26" s="129" t="n"/>
      <c r="T26" s="146">
        <f>-Dividend_Payout_Active*T15</f>
        <v>-4518.84858125444</v>
      </c>
      <c r="U26" s="146">
        <f>-Dividend_Payout_Active*U15</f>
        <v>-4363.02627660819</v>
      </c>
      <c r="V26" s="146">
        <f>-Dividend_Payout_Active*V15</f>
        <v>-4790.82215570458</v>
      </c>
      <c r="W26" s="171">
        <f>Q26+T26+U26+V26</f>
        <v>-17593.6970135672</v>
      </c>
      <c r="X26" s="129" t="n"/>
      <c r="Y26" s="177">
        <f>K26</f>
        <v>-3822</v>
      </c>
      <c r="Z26" s="129" t="n"/>
      <c r="AA26" s="129" t="n"/>
      <c r="AB26" s="146">
        <f>-Dividend_Payout_Active*AB15</f>
        <v>-4088.83805263529</v>
      </c>
      <c r="AC26" s="146">
        <f>-Dividend_Payout_Active*AC15</f>
        <v>-4489.74970393292</v>
      </c>
      <c r="AD26" s="171">
        <f>Q26+Y26+AB26+AC26</f>
        <v>-16321.5877565682</v>
      </c>
      <c r="AE26" s="129" t="n"/>
      <c r="AF26" s="146">
        <f>-Dividend_Payout_Active*AF15</f>
        <v>-5998.17831609715</v>
      </c>
      <c r="AG26" s="146">
        <f>-Dividend_Payout_Active*AG15</f>
        <v>-4576.71395456049</v>
      </c>
      <c r="AH26" s="146">
        <f>-Dividend_Payout_Active*AH15</f>
        <v>-4418.89629298522</v>
      </c>
      <c r="AI26" s="146">
        <f>-Dividend_Payout_Active*AI15</f>
        <v>-4852.17024194777</v>
      </c>
      <c r="AJ26" s="171">
        <f>AF26+AG26+AH26+AI26</f>
        <v>-19845.9588055906</v>
      </c>
      <c r="AK26" s="129" t="n"/>
    </row>
    <row r="27">
      <c r="A27" s="127" t="inlineStr">
        <is>
          <t>Net debt issuance/(repayment) ($M)</t>
        </is>
      </c>
      <c r="B27" s="169" t="inlineStr">
        <is>
          <t>n/a</t>
        </is>
      </c>
      <c r="C27" s="169" t="inlineStr">
        <is>
          <t>n/a</t>
        </is>
      </c>
      <c r="D27" s="170" t="inlineStr">
        <is>
          <t>n/a</t>
        </is>
      </c>
      <c r="E27" s="170" t="inlineStr">
        <is>
          <t>n/a</t>
        </is>
      </c>
      <c r="F27" s="170" t="inlineStr">
        <is>
          <t>n/a</t>
        </is>
      </c>
      <c r="G27" s="170" t="inlineStr">
        <is>
          <t>n/a</t>
        </is>
      </c>
      <c r="H27" s="170" t="inlineStr">
        <is>
          <t>n/a</t>
        </is>
      </c>
      <c r="I27" s="170" t="inlineStr">
        <is>
          <t>n/a</t>
        </is>
      </c>
      <c r="J27" s="170" t="inlineStr">
        <is>
          <t>n/a</t>
        </is>
      </c>
      <c r="K27" s="170" t="inlineStr">
        <is>
          <t>n/a</t>
        </is>
      </c>
      <c r="L27" s="146">
        <f>Debt_Roll_Active</f>
        <v>0</v>
      </c>
      <c r="M27" s="146">
        <f>Debt_Roll_Active</f>
        <v>0</v>
      </c>
      <c r="N27" s="146">
        <f>Debt_Roll_Active</f>
        <v>0</v>
      </c>
      <c r="O27" s="146">
        <f>Debt_Roll_Active</f>
        <v>0</v>
      </c>
      <c r="P27" s="171">
        <f>L27+M27+N27+O27</f>
        <v>0</v>
      </c>
      <c r="Q27" s="170" t="inlineStr">
        <is>
          <t>n/a</t>
        </is>
      </c>
      <c r="R27" s="129" t="n"/>
      <c r="S27" s="129" t="n"/>
      <c r="T27" s="146">
        <f>Debt_Roll_Active</f>
        <v>0</v>
      </c>
      <c r="U27" s="146">
        <f>Debt_Roll_Active</f>
        <v>0</v>
      </c>
      <c r="V27" s="146">
        <f>Debt_Roll_Active</f>
        <v>0</v>
      </c>
      <c r="W27" s="143" t="inlineStr">
        <is>
          <t>n/a (blends a real FY2026 actual quarter -- which lacks quarterly D&amp;A/CapEx/debt-roll disclosure and whose successor quarter's own roll-forward prior is NOT this actual quarter -- with modeled quarters; see the individual quarter columns for full detail)</t>
        </is>
      </c>
      <c r="X27" s="129" t="n"/>
      <c r="Y27" s="170" t="inlineStr">
        <is>
          <t>n/a</t>
        </is>
      </c>
      <c r="Z27" s="129" t="n"/>
      <c r="AA27" s="129" t="n"/>
      <c r="AB27" s="146">
        <f>Debt_Roll_Active</f>
        <v>0</v>
      </c>
      <c r="AC27" s="146">
        <f>Debt_Roll_Active</f>
        <v>0</v>
      </c>
      <c r="AD27" s="143" t="inlineStr">
        <is>
          <t>n/a (blends a real FY2026 actual quarter -- which lacks quarterly D&amp;A/CapEx/debt-roll disclosure and whose successor quarter's own roll-forward prior is NOT this actual quarter -- with modeled quarters; see the individual quarter columns for full detail)</t>
        </is>
      </c>
      <c r="AE27" s="129" t="n"/>
      <c r="AF27" s="146">
        <f>Debt_Roll_Active</f>
        <v>0</v>
      </c>
      <c r="AG27" s="146">
        <f>Debt_Roll_Active</f>
        <v>0</v>
      </c>
      <c r="AH27" s="146">
        <f>Debt_Roll_Active</f>
        <v>0</v>
      </c>
      <c r="AI27" s="146">
        <f>Debt_Roll_Active</f>
        <v>0</v>
      </c>
      <c r="AJ27" s="171">
        <f>AF27+AG27+AH27+AI27</f>
        <v>0</v>
      </c>
      <c r="AK27" s="129" t="n"/>
    </row>
    <row r="28">
      <c r="A28" s="164" t="inlineStr">
        <is>
          <t>Cash used in financing activities ($M)</t>
        </is>
      </c>
      <c r="B28" s="169" t="inlineStr">
        <is>
          <t>n/a</t>
        </is>
      </c>
      <c r="C28" s="169" t="inlineStr">
        <is>
          <t>n/a</t>
        </is>
      </c>
      <c r="D28" s="170" t="inlineStr">
        <is>
          <t>n/a</t>
        </is>
      </c>
      <c r="E28" s="170" t="inlineStr">
        <is>
          <t>n/a</t>
        </is>
      </c>
      <c r="F28" s="170" t="inlineStr">
        <is>
          <t>n/a</t>
        </is>
      </c>
      <c r="G28" s="170" t="inlineStr">
        <is>
          <t>n/a</t>
        </is>
      </c>
      <c r="H28" s="170" t="inlineStr">
        <is>
          <t>n/a</t>
        </is>
      </c>
      <c r="I28" s="170" t="inlineStr">
        <is>
          <t>n/a</t>
        </is>
      </c>
      <c r="J28" s="170" t="inlineStr">
        <is>
          <t>n/a</t>
        </is>
      </c>
      <c r="K28" s="170" t="inlineStr">
        <is>
          <t>n/a</t>
        </is>
      </c>
      <c r="L28" s="171">
        <f>L25+L26+L27</f>
        <v>-45641.2263435727</v>
      </c>
      <c r="M28" s="171">
        <f>M25+M26+M27</f>
        <v>-22490.0906543641</v>
      </c>
      <c r="N28" s="171">
        <f>N25+N26+N27</f>
        <v>-27600.5917836313</v>
      </c>
      <c r="O28" s="171">
        <f>O25+O26+O27</f>
        <v>-33246.214801467</v>
      </c>
      <c r="P28" s="171">
        <f>P25+P26+P27</f>
        <v>-128978.123583035</v>
      </c>
      <c r="Q28" s="170" t="inlineStr">
        <is>
          <t>n/a</t>
        </is>
      </c>
      <c r="R28" s="129" t="n"/>
      <c r="S28" s="129" t="n"/>
      <c r="T28" s="171">
        <f>T25+T26+T27</f>
        <v>-25213.8679222698</v>
      </c>
      <c r="U28" s="171">
        <f>U25+U26+U27</f>
        <v>-29693.4773567909</v>
      </c>
      <c r="V28" s="171">
        <f>V25+V26+V27</f>
        <v>-35615.4743929973</v>
      </c>
      <c r="W28" s="143" t="inlineStr">
        <is>
          <t>n/a (blends a real FY2026 actual quarter -- which lacks quarterly D&amp;A/CapEx/debt-roll disclosure and whose successor quarter's own roll-forward prior is NOT this actual quarter -- with modeled quarters; see the individual quarter columns for full detail)</t>
        </is>
      </c>
      <c r="X28" s="129" t="n"/>
      <c r="Y28" s="170" t="inlineStr">
        <is>
          <t>n/a</t>
        </is>
      </c>
      <c r="Z28" s="129" t="n"/>
      <c r="AA28" s="129" t="n"/>
      <c r="AB28" s="171">
        <f>AB25+AB26+AB27</f>
        <v>-26516.7189717951</v>
      </c>
      <c r="AC28" s="171">
        <f>AC25+AC26+AC27</f>
        <v>-33383.6504987302</v>
      </c>
      <c r="AD28" s="143" t="inlineStr">
        <is>
          <t>n/a (blends a real FY2026 actual quarter -- which lacks quarterly D&amp;A/CapEx/debt-roll disclosure and whose successor quarter's own roll-forward prior is NOT this actual quarter -- with modeled quarters; see the individual quarter columns for full detail)</t>
        </is>
      </c>
      <c r="AE28" s="129" t="n"/>
      <c r="AF28" s="171">
        <f>AF25+AF26+AF27</f>
        <v>-49706.3192419578</v>
      </c>
      <c r="AG28" s="171">
        <f>AG25+AG26+AG27</f>
        <v>-24735.8750904054</v>
      </c>
      <c r="AH28" s="171">
        <f>AH25+AH26+AH27</f>
        <v>-30061.9310511896</v>
      </c>
      <c r="AI28" s="171">
        <f>AI25+AI26+AI27</f>
        <v>-36095.2060174486</v>
      </c>
      <c r="AJ28" s="171">
        <f>AJ25+AJ26+AJ27</f>
        <v>-140599.331401001</v>
      </c>
      <c r="AK28" s="129" t="n"/>
    </row>
    <row r="29">
      <c r="A29" s="164" t="inlineStr">
        <is>
          <t>Net increase/(decrease) in cash ($M)</t>
        </is>
      </c>
      <c r="B29" s="169" t="inlineStr">
        <is>
          <t>n/a</t>
        </is>
      </c>
      <c r="C29" s="177">
        <f>BS!C9-BS!B9</f>
        <v>-8065</v>
      </c>
      <c r="D29" s="177">
        <f>BS!D9-BS!C9</f>
        <v>-7130</v>
      </c>
      <c r="E29" s="177">
        <f>BS!E9-BS!D9</f>
        <v>4378</v>
      </c>
      <c r="F29" s="177">
        <f>BS!F9-BS!E9</f>
        <v>356</v>
      </c>
      <c r="G29" s="177">
        <f>BS!G9-BS!F9</f>
        <v>-2137</v>
      </c>
      <c r="H29" s="177">
        <f>BS!H9-BS!G9</f>
        <v>8107</v>
      </c>
      <c r="I29" s="177">
        <f>BS!I9-BS!H9</f>
        <v>-335</v>
      </c>
      <c r="J29" s="177">
        <f>BS!J9-BS!I9</f>
        <v>9383</v>
      </c>
      <c r="K29" s="177">
        <f>BS!K9-BS!J9</f>
        <v>255</v>
      </c>
      <c r="L29" s="171">
        <f>L20+L23+L28</f>
        <v>-1053.88226322586</v>
      </c>
      <c r="M29" s="171">
        <f>M20+M23+M28</f>
        <v>-2174.68104811252</v>
      </c>
      <c r="N29" s="171">
        <f>N20+N23+N28</f>
        <v>-1445.68972022256</v>
      </c>
      <c r="O29" s="171">
        <f>O20+O23+O28</f>
        <v>-1260.84245682885</v>
      </c>
      <c r="P29" s="171">
        <f>P30-P13</f>
        <v>-5935.09548838978</v>
      </c>
      <c r="Q29" s="177">
        <f>BS!Q9-BS!I9</f>
        <v>9383</v>
      </c>
      <c r="R29" s="129" t="n"/>
      <c r="S29" s="129" t="n"/>
      <c r="T29" s="171">
        <f>T20+T23+T28</f>
        <v>-2219.40198780829</v>
      </c>
      <c r="U29" s="171">
        <f>U20+U23+U28</f>
        <v>-1548.53171214345</v>
      </c>
      <c r="V29" s="171">
        <f>V20+V23+V28</f>
        <v>-1365.86079600539</v>
      </c>
      <c r="W29" s="171">
        <f>W30-W13</f>
        <v>-6187.67675918299</v>
      </c>
      <c r="X29" s="129" t="n"/>
      <c r="Y29" s="177">
        <f>BS!Y9-BS!J9</f>
        <v>255</v>
      </c>
      <c r="Z29" s="129" t="n"/>
      <c r="AA29" s="129" t="n"/>
      <c r="AB29" s="171">
        <f>AB20+AB23+AB28</f>
        <v>-1596.85128383977</v>
      </c>
      <c r="AC29" s="171">
        <f>AC20+AC23+AC28</f>
        <v>-1279.31628228878</v>
      </c>
      <c r="AD29" s="171">
        <f>AD30-AD13</f>
        <v>-6149.4518171627</v>
      </c>
      <c r="AE29" s="129" t="n"/>
      <c r="AF29" s="171">
        <f>AF20+AF23+AF28</f>
        <v>-1141.71821322375</v>
      </c>
      <c r="AG29" s="171">
        <f>AG20+AG23+AG28</f>
        <v>-2336.80716168883</v>
      </c>
      <c r="AH29" s="171">
        <f>AH20+AH23+AH28</f>
        <v>-1569.67020874028</v>
      </c>
      <c r="AI29" s="171">
        <f>AI20+AI23+AI28</f>
        <v>-1380.72182244769</v>
      </c>
      <c r="AJ29" s="171">
        <f>AJ30-AJ13</f>
        <v>-6428.91740610055</v>
      </c>
      <c r="AK29" s="129" t="n"/>
    </row>
    <row r="30">
      <c r="A30" s="164" t="inlineStr">
        <is>
          <t>Cash, end of period ($M)</t>
        </is>
      </c>
      <c r="B30" s="177">
        <f>BS!B9</f>
        <v>40760</v>
      </c>
      <c r="C30" s="177">
        <f>BS!C9</f>
        <v>32695</v>
      </c>
      <c r="D30" s="177">
        <f>BS!D9</f>
        <v>25565</v>
      </c>
      <c r="E30" s="177">
        <f>BS!E9</f>
        <v>29943</v>
      </c>
      <c r="F30" s="177">
        <f>BS!F9</f>
        <v>30299</v>
      </c>
      <c r="G30" s="177">
        <f>BS!G9</f>
        <v>28162</v>
      </c>
      <c r="H30" s="177">
        <f>BS!H9</f>
        <v>36269</v>
      </c>
      <c r="I30" s="177">
        <f>BS!I9</f>
        <v>35934</v>
      </c>
      <c r="J30" s="177">
        <f>BS!J9</f>
        <v>45317</v>
      </c>
      <c r="K30" s="177">
        <f>BS!K9</f>
        <v>45572</v>
      </c>
      <c r="L30" s="171">
        <f>L13+L29</f>
        <v>34880.1177367741</v>
      </c>
      <c r="M30" s="171">
        <f>M13+M29</f>
        <v>32705.4366886616</v>
      </c>
      <c r="N30" s="171">
        <f>N13+N29</f>
        <v>31259.7469684391</v>
      </c>
      <c r="O30" s="171">
        <f>O13+O29</f>
        <v>29998.9045116102</v>
      </c>
      <c r="P30" s="171">
        <f>BS!O9</f>
        <v>29998.9045116102</v>
      </c>
      <c r="Q30" s="177">
        <f>BS!Q9</f>
        <v>45317</v>
      </c>
      <c r="R30" s="129" t="n"/>
      <c r="S30" s="129" t="n"/>
      <c r="T30" s="171">
        <f>T13+T29</f>
        <v>32660.7157489658</v>
      </c>
      <c r="U30" s="171">
        <f>U13+U29</f>
        <v>31112.1840368224</v>
      </c>
      <c r="V30" s="171">
        <f>V13+V29</f>
        <v>29746.323240817</v>
      </c>
      <c r="W30" s="171">
        <f>BS!V9</f>
        <v>29746.323240817</v>
      </c>
      <c r="X30" s="129" t="n"/>
      <c r="Y30" s="177">
        <f>BS!Y9</f>
        <v>45572</v>
      </c>
      <c r="Z30" s="129" t="n"/>
      <c r="AA30" s="129" t="n"/>
      <c r="AB30" s="171">
        <f>AB13+AB29</f>
        <v>31063.8644651261</v>
      </c>
      <c r="AC30" s="171">
        <f>AC13+AC29</f>
        <v>29784.5481828373</v>
      </c>
      <c r="AD30" s="171">
        <f>BS!AC9</f>
        <v>29784.5481828373</v>
      </c>
      <c r="AE30" s="129" t="n"/>
      <c r="AF30" s="171">
        <f>AF13+AF29</f>
        <v>28642.8299696136</v>
      </c>
      <c r="AG30" s="171">
        <f>AG13+AG29</f>
        <v>26306.0228079247</v>
      </c>
      <c r="AH30" s="171">
        <f>AH13+AH29</f>
        <v>24736.3525991844</v>
      </c>
      <c r="AI30" s="171">
        <f>AI13+AI29</f>
        <v>23355.6307767367</v>
      </c>
      <c r="AJ30" s="171">
        <f>BS!AI9</f>
        <v>23355.6307767367</v>
      </c>
      <c r="AK30" s="129" t="n"/>
    </row>
    <row r="31">
      <c r="A31" s="129" t="n"/>
      <c r="B31" s="129" t="n"/>
      <c r="C31" s="129" t="n"/>
      <c r="D31" s="129" t="n"/>
      <c r="E31" s="129" t="n"/>
      <c r="F31" s="129" t="n"/>
      <c r="G31" s="129" t="n"/>
      <c r="H31" s="129" t="n"/>
      <c r="I31" s="129" t="n"/>
      <c r="J31" s="129" t="n"/>
      <c r="K31" s="129" t="n"/>
      <c r="L31" s="129" t="n"/>
      <c r="M31" s="129" t="n"/>
      <c r="N31" s="129" t="n"/>
      <c r="O31" s="129" t="n"/>
      <c r="P31" s="129" t="n"/>
      <c r="Q31" s="129" t="n"/>
      <c r="R31" s="129" t="n"/>
      <c r="S31" s="129" t="n"/>
      <c r="T31" s="129" t="n"/>
      <c r="U31" s="129" t="n"/>
      <c r="V31" s="129" t="n"/>
      <c r="W31" s="129" t="n"/>
      <c r="X31" s="129" t="n"/>
      <c r="Y31" s="129" t="n"/>
      <c r="Z31" s="129" t="n"/>
      <c r="AA31" s="129" t="n"/>
      <c r="AB31" s="129" t="n"/>
      <c r="AC31" s="129" t="n"/>
      <c r="AD31" s="129" t="n"/>
      <c r="AE31" s="129" t="n"/>
      <c r="AF31" s="129" t="n"/>
      <c r="AG31" s="129" t="n"/>
      <c r="AH31" s="129" t="n"/>
      <c r="AI31" s="129" t="n"/>
      <c r="AJ31" s="129" t="n"/>
      <c r="AK31" s="129" t="n"/>
    </row>
    <row r="32">
      <c r="A32" s="164" t="inlineStr">
        <is>
          <t>Memo: Free Cash Flow (OCF - CapEx) ($M)</t>
        </is>
      </c>
      <c r="B32" s="169" t="inlineStr">
        <is>
          <t>n/a</t>
        </is>
      </c>
      <c r="C32" s="169" t="inlineStr">
        <is>
          <t>n/a</t>
        </is>
      </c>
      <c r="D32" s="170" t="inlineStr">
        <is>
          <t>n/a</t>
        </is>
      </c>
      <c r="E32" s="170" t="inlineStr">
        <is>
          <t>n/a</t>
        </is>
      </c>
      <c r="F32" s="170" t="inlineStr">
        <is>
          <t>n/a</t>
        </is>
      </c>
      <c r="G32" s="170" t="inlineStr">
        <is>
          <t>n/a</t>
        </is>
      </c>
      <c r="H32" s="170" t="inlineStr">
        <is>
          <t>n/a</t>
        </is>
      </c>
      <c r="I32" s="170" t="inlineStr">
        <is>
          <t>n/a</t>
        </is>
      </c>
      <c r="J32" s="170" t="inlineStr">
        <is>
          <t>n/a</t>
        </is>
      </c>
      <c r="K32" s="170" t="inlineStr">
        <is>
          <t>n/a</t>
        </is>
      </c>
      <c r="L32" s="171">
        <f>L20+L23</f>
        <v>44587.3440803469</v>
      </c>
      <c r="M32" s="171">
        <f>M20+M23</f>
        <v>20315.4096062515</v>
      </c>
      <c r="N32" s="171">
        <f>N20+N23</f>
        <v>26154.9020634087</v>
      </c>
      <c r="O32" s="171">
        <f>O20+O23</f>
        <v>31985.3723446381</v>
      </c>
      <c r="P32" s="171">
        <f>P20+P23</f>
        <v>123043.028094645</v>
      </c>
      <c r="Q32" s="170" t="inlineStr">
        <is>
          <t>n/a</t>
        </is>
      </c>
      <c r="R32" s="129" t="n"/>
      <c r="S32" s="129" t="n"/>
      <c r="T32" s="171">
        <f>T20+T23</f>
        <v>22994.4659344615</v>
      </c>
      <c r="U32" s="171">
        <f>U20+U23</f>
        <v>28144.9456446475</v>
      </c>
      <c r="V32" s="171">
        <f>V20+V23</f>
        <v>34249.6135969919</v>
      </c>
      <c r="W32" s="143" t="inlineStr">
        <is>
          <t>n/a (blends a real FY2026 actual quarter -- which lacks quarterly D&amp;A/CapEx/debt-roll disclosure and whose successor quarter's own roll-forward prior is NOT this actual quarter -- with modeled quarters; see the individual quarter columns for full detail)</t>
        </is>
      </c>
      <c r="X32" s="129" t="n"/>
      <c r="Y32" s="170" t="inlineStr">
        <is>
          <t>n/a</t>
        </is>
      </c>
      <c r="Z32" s="129" t="n"/>
      <c r="AA32" s="129" t="n"/>
      <c r="AB32" s="171">
        <f>AB20+AB23</f>
        <v>24919.8676879553</v>
      </c>
      <c r="AC32" s="171">
        <f>AC20+AC23</f>
        <v>32104.3342164414</v>
      </c>
      <c r="AD32" s="143" t="inlineStr">
        <is>
          <t>n/a (blends a real FY2026 actual quarter -- which lacks quarterly D&amp;A/CapEx/debt-roll disclosure and whose successor quarter's own roll-forward prior is NOT this actual quarter -- with modeled quarters; see the individual quarter columns for full detail)</t>
        </is>
      </c>
      <c r="AE32" s="129" t="n"/>
      <c r="AF32" s="171">
        <f>AF20+AF23</f>
        <v>48564.601028734</v>
      </c>
      <c r="AG32" s="171">
        <f>AG20+AG23</f>
        <v>22399.0679287166</v>
      </c>
      <c r="AH32" s="171">
        <f>AH20+AH23</f>
        <v>28492.2608424494</v>
      </c>
      <c r="AI32" s="171">
        <f>AI20+AI23</f>
        <v>34714.4841950009</v>
      </c>
      <c r="AJ32" s="171">
        <f>AJ20+AJ23</f>
        <v>134170.413994901</v>
      </c>
      <c r="AK32" s="129" t="n"/>
    </row>
    <row r="33">
      <c r="A33" s="129" t="n"/>
      <c r="B33" s="129" t="n"/>
      <c r="C33" s="129" t="n"/>
      <c r="D33" s="129" t="n"/>
      <c r="E33" s="129" t="n"/>
      <c r="F33" s="129" t="n"/>
      <c r="G33" s="129" t="n"/>
      <c r="H33" s="129" t="n"/>
      <c r="I33" s="129" t="n"/>
      <c r="J33" s="129" t="n"/>
      <c r="K33" s="129" t="n"/>
      <c r="L33" s="129" t="n"/>
      <c r="M33" s="129" t="n"/>
      <c r="N33" s="129" t="n"/>
      <c r="O33" s="129" t="n"/>
      <c r="P33" s="129" t="n"/>
      <c r="Q33" s="129" t="n"/>
      <c r="R33" s="129" t="n"/>
      <c r="S33" s="129" t="n"/>
      <c r="T33" s="129" t="n"/>
      <c r="U33" s="129" t="n"/>
      <c r="V33" s="129" t="n"/>
      <c r="W33" s="129" t="n"/>
      <c r="X33" s="129" t="n"/>
      <c r="Y33" s="129" t="n"/>
      <c r="Z33" s="129" t="n"/>
      <c r="AA33" s="129" t="n"/>
      <c r="AB33" s="129" t="n"/>
      <c r="AC33" s="129" t="n"/>
      <c r="AD33" s="129" t="n"/>
      <c r="AE33" s="129" t="n"/>
      <c r="AF33" s="129" t="n"/>
      <c r="AG33" s="129" t="n"/>
      <c r="AH33" s="129" t="n"/>
      <c r="AI33" s="129" t="n"/>
      <c r="AJ33" s="129" t="n"/>
      <c r="AK33" s="129" t="n"/>
    </row>
    <row r="34" ht="72" customHeight="1">
      <c r="A34" s="180" t="inlineStr">
        <is>
          <t>Color legend: blue = real historical literal/derived input (Net income mirrors the IS tab; Repurchases/Dividends are real discrete-quarter disclosures; working-capital changes are real period-over-period BS deltas); black on light green = forecast formula output (driven by the Drivers tab's Active named ranges -- CapEx_Pct_Rev_Active, Buyback_Pct_FCF_Active, Dividend_Payout_Active, Debt_Roll_Active -- and this tab's own D&amp;A% assumption, row 9); light grey = subtotal/Total column; 'n/a' = not available at discrete-quarter grain historically, or (Total columns W/AD only) a blend of a real actual quarter with modeled quarters that would otherwise silently misstate the figure. 'Cash, end of period' is the figure BS!Cash pulls from for every forecast column -- never an independent plug. BULL-SCENARIO CASH NOTE: under Bull, this line's decline is visible starting from the very first forecast quarter (FY26 Q1 AOP, col L) and is continuous and steady through every subsequent vintage column -- Cash turns NEGATIVE starting FY2027 Q3 (col AH) and remains negative through FY2027 Q4 (col AI): two consecutive negative quarters, not a single Q4 tail event. Root cause: Bull sets Buyback_Pct_FCF_Active to 100% (consuming the entire FCF pool every quarter) with dividends layered on top and no revolver/cash-floor mechanic modeled -- a deterministic drain baked in from quarter one. This is NOT a balance-check bug: BS!row39 holds at effectively exact zero at every column along this entire path under Bull, exactly as it does in Base and Bear.</t>
        </is>
      </c>
      <c r="B34" s="218" t="n"/>
      <c r="C34" s="218" t="n"/>
      <c r="D34" s="218" t="n"/>
      <c r="E34" s="218" t="n"/>
      <c r="F34" s="218" t="n"/>
      <c r="G34" s="218" t="n"/>
      <c r="H34" s="218" t="n"/>
      <c r="I34" s="218" t="n"/>
      <c r="J34" s="218" t="n"/>
      <c r="K34" s="218" t="n"/>
      <c r="L34" s="218" t="n"/>
      <c r="M34" s="218" t="n"/>
      <c r="N34" s="218" t="n"/>
      <c r="O34" s="218" t="n"/>
      <c r="P34" s="218" t="n"/>
      <c r="Q34" s="218" t="n"/>
      <c r="R34" s="218" t="n"/>
      <c r="S34" s="218" t="n"/>
      <c r="T34" s="218" t="n"/>
      <c r="U34" s="218" t="n"/>
      <c r="V34" s="218" t="n"/>
      <c r="W34" s="218" t="n"/>
      <c r="X34" s="218" t="n"/>
      <c r="Y34" s="218" t="n"/>
      <c r="Z34" s="218" t="n"/>
      <c r="AA34" s="218" t="n"/>
      <c r="AB34" s="218" t="n"/>
      <c r="AC34" s="218" t="n"/>
      <c r="AD34" s="218" t="n"/>
      <c r="AE34" s="218" t="n"/>
      <c r="AF34" s="218" t="n"/>
      <c r="AG34" s="218" t="n"/>
      <c r="AH34" s="218" t="n"/>
      <c r="AI34" s="218" t="n"/>
      <c r="AJ34" s="218" t="n"/>
      <c r="AK34" s="219" t="n"/>
    </row>
  </sheetData>
  <mergeCells count="12">
    <mergeCell ref="A34:AK34"/>
    <mergeCell ref="AB5:AD5"/>
    <mergeCell ref="A3:AK3"/>
    <mergeCell ref="A2:AK2"/>
    <mergeCell ref="A11:AK11"/>
    <mergeCell ref="AF5:AJ5"/>
    <mergeCell ref="A1:AK1"/>
    <mergeCell ref="L5:P5"/>
    <mergeCell ref="T5:W5"/>
    <mergeCell ref="A8:AK8"/>
    <mergeCell ref="B5:K5"/>
    <mergeCell ref="D9:AK9"/>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50"/>
  <sheetViews>
    <sheetView showGridLines="1" workbookViewId="0">
      <pane xSplit="1" ySplit="10" topLeftCell="B11" activePane="bottomRight" state="frozen"/>
      <selection pane="top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s>
  <sheetData>
    <row r="1" ht="22" customHeight="1">
      <c r="A1" s="126" t="inlineStr">
        <is>
          <t>Apple Inc. -- Driver-Based Rolling Forecast Model: FORECAST BRIDGE (Waterfall Variance Analysis)</t>
        </is>
      </c>
      <c r="B1" s="218" t="n"/>
      <c r="C1" s="218" t="n"/>
      <c r="D1" s="218" t="n"/>
      <c r="E1" s="218" t="n"/>
      <c r="F1" s="218" t="n"/>
      <c r="G1" s="218" t="n"/>
      <c r="H1" s="218" t="n"/>
      <c r="I1" s="218" t="n"/>
      <c r="J1" s="219" t="n"/>
    </row>
    <row r="2" ht="42" customHeight="1">
      <c r="A2" s="154" t="inlineStr">
        <is>
          <t>Consumes: IS tab (FY2026 Approved AOP / Q1 Actual / Q1 Forecast Update / Q2 Actual / Q3 Reforecast columns, and each vintage's Annual Build helper rows 15-31 / 71-78 / 92-99) built by Tasks 12-14, and the Drivers tab's Units Growth / ASP YoY / FX Impact / Mix Impact Active named ranges (Task 11). Nothing on this tab is fabricated -- every cell is a live formula referencing IS-tab or Drivers-tab cells; toggling Drivers!B6 (Scenario switch) recalculates every number below (bridges are most meaningful under Base, since only Base's actual-vs-forecast quarters are REAL reported variances -- see the caveat below and each waterfall's own description).</t>
        </is>
      </c>
      <c r="B2" s="218" t="n"/>
      <c r="C2" s="218" t="n"/>
      <c r="D2" s="218" t="n"/>
      <c r="E2" s="218" t="n"/>
      <c r="F2" s="218" t="n"/>
      <c r="G2" s="218" t="n"/>
      <c r="H2" s="218" t="n"/>
      <c r="I2" s="218" t="n"/>
      <c r="J2" s="219" t="n"/>
    </row>
    <row r="3" ht="130" customHeight="1">
      <c r="A3" s="154" t="inlineStr">
        <is>
          <t>THREE WATERFALLS, one per real "vs." step in the vintage chain: (A) FY2026 Approved AOP Q1 -&gt; Q1 FY2026 Actual (ties to IS!R41, a REAL actual-vs-plan variance); (B) Q1 Forecast Update's own Q2 -&gt; Q2 FY2026 Actual (ties to IS!Z41, also REAL); (C) Q1 Forecast Update's Q3+Q4 forecast -&gt; Q3 Reforecast's Q3+Q4 forecast (ties to a value computed on this tab, (IS!AB41+IS!AC41)-(IS!U41+IS!V41); NOT a pre-built IS-tab variance column, since Q3-Q4 FY2026 have not happened yet). DEVIATION FROM THE TASK 17 BRIEF'S LITERAL WORDING, DOCUMENTED PER THE BRIEF'S OWN INSTRUCTION: the brief's Step 1 names "Q1 Forecast Update -&gt; Q3 Reforecast" as the third comparison; that is followed here for WHICH TWO VINTAGES to compare, but the comparison is scoped to the Q3-Q4 quarters both vintages actually forecast (IS! cols U:V vs AB:AC), NOT the FY26 Total columns (IS!W vs IS!AD). The Totals were considered and rejected: IS!W = Q1 Actual + Q1 FU's own (now-superseded) Q2 FORECAST + Q3-Q4 FU forecast, while IS!AD = Q1 Actual + REAL Q2 Actual + Q3-Q4 RF forecast -- their Q2 components differ (forecast vs. real actual), so IS!AD-IS!W = Z41 (Waterfall B's own Q2 variance) PLUS the Q3-Q4 forecast revision; comparing Totals would silently double-count Waterfall B inside Waterfall C. Using only Q3+Q4 isolates the clean, non-overlapping forward-forecast revision that Task 14's own Driver Adjustment Log (IS! rows 84-90) and Annual Build (rows 92-99) actually produced: the Q2-beat uplift ratio (IS!G86) re-applied to Q1 FU's Q3-Q4 forecast.</t>
        </is>
      </c>
      <c r="B3" s="218" t="n"/>
      <c r="C3" s="218" t="n"/>
      <c r="D3" s="218" t="n"/>
      <c r="E3" s="218" t="n"/>
      <c r="F3" s="218" t="n"/>
      <c r="G3" s="218" t="n"/>
      <c r="H3" s="218" t="n"/>
      <c r="I3" s="218" t="n"/>
      <c r="J3" s="219" t="n"/>
    </row>
    <row r="4" ht="130" customHeight="1">
      <c r="A4" s="180" t="inlineStr">
        <is>
          <t>DECOMPOSITION METHOD: (1) SEGMENT SPLIT -- each waterfall's total $ variance is split across iPhone/Mac/iPad/Wearables/Services using the EXACT per-segment dollar figures Tasks 13/14 already computed in the IS tab's Annual Build helper rows (Waterfall A: IS! rows 73-77 minus rows 18/21/24/27/30; Waterfall B: rows 94-98 minus rows 73-77; Waterfall C: the same rows 94-98 minus 73-77 delta, re-seasonalized onto Q3+Q4 only via IS!D12:E12) -- not re-derived: Tasks 13/14's own Driver Adjustment Logs (IS! rows 65/86) apply each vintage's real $ beat as a UNIFORM % uplift to every segment's prior-vintage annual revenue, because real segment-level revenue is not disclosed at quarterly grain (IS! row 65/86 notes) -- this proportional allocation is Task 13/14's own method, read directly off the sheet. (2) UNITS/ASP/FX/MIX SPLIT -- since the Driver Adjustment Logs treat revenue as a single "blended Units x ASP x FX x Mix growth proxy" and explicitly decline to attribute the beat to a specific driver, each segment's $ contribution is further split using the Drivers tab's OWN Active assumption weights for that segment/scenario: weight_x = ABS(driver x's Active rate) / SUM(ABS(all 4 drivers' Active rates)) -- i.e. the beat is assumed to carry the same relative Units/ASP/FX/Mix composition as management's own plan for that segment (rows 11-15). Weights sum to exactly 100% by construction (column J), so there is NO residual/plug line -- every dollar of variance is fully allocated, and each waterfall's CHECK row (independently summing every Units+ASP+FX+Mix cell across all 5 segments) confirms this ties to the IS-tab total.</t>
        </is>
      </c>
      <c r="B4" s="218" t="n"/>
      <c r="C4" s="218" t="n"/>
      <c r="D4" s="218" t="n"/>
      <c r="E4" s="218" t="n"/>
      <c r="F4" s="218" t="n"/>
      <c r="G4" s="218" t="n"/>
      <c r="H4" s="218" t="n"/>
      <c r="I4" s="218" t="n"/>
      <c r="J4" s="219" t="n"/>
    </row>
    <row r="5">
      <c r="A5" s="129" t="n"/>
      <c r="B5" s="129" t="n"/>
      <c r="C5" s="129" t="n"/>
      <c r="D5" s="129" t="n"/>
      <c r="E5" s="129" t="n"/>
      <c r="F5" s="129" t="n"/>
      <c r="G5" s="129" t="n"/>
      <c r="H5" s="129" t="n"/>
      <c r="I5" s="129" t="n"/>
      <c r="J5" s="129" t="n"/>
    </row>
    <row r="6" ht="75" customHeight="1">
      <c r="A6" s="181" t="inlineStr">
        <is>
          <t>CAVEAT (shown here, not just on the Drivers tab): segment-level Units and ASP/ARPU figures throughout this workbook -- including every Units $ / ASP $ column on THIS tab -- are IMPLIED / ESTIMATED, not Apple-disclosed data (Apple has not disclosed iPhone/Mac/iPad/Wearables unit shipments since FY2018; see Drivers! row 4 and rows 12/15/18/21/26 Source/Notes). The Units/ASP/FX/Mix SPLIT below is a further estimate layered on top of that: real quarterly revenue is only disclosed on a CONSOLIDATED basis (no segment split), so neither the segment allocation nor the driver split below is independently observed -- both are modeled allocations, fully formula-traceable to the Drivers tab's Active assumptions and the IS tab's own Driver Adjustment Logs, but NOT real disclosed splits. Treat every $ figure on this tab as directional attribution, not an audited actual-driver breakdown.</t>
        </is>
      </c>
      <c r="B6" s="218" t="n"/>
      <c r="C6" s="218" t="n"/>
      <c r="D6" s="218" t="n"/>
      <c r="E6" s="218" t="n"/>
      <c r="F6" s="218" t="n"/>
      <c r="G6" s="218" t="n"/>
      <c r="H6" s="218" t="n"/>
      <c r="I6" s="218" t="n"/>
      <c r="J6" s="219" t="n"/>
    </row>
    <row r="7">
      <c r="A7" s="129" t="n"/>
      <c r="B7" s="129" t="n"/>
      <c r="C7" s="129" t="n"/>
      <c r="D7" s="129" t="n"/>
      <c r="E7" s="129" t="n"/>
      <c r="F7" s="129" t="n"/>
      <c r="G7" s="129" t="n"/>
      <c r="H7" s="129" t="n"/>
      <c r="I7" s="129" t="n"/>
      <c r="J7" s="129" t="n"/>
    </row>
    <row r="8">
      <c r="A8" s="138" t="inlineStr">
        <is>
          <t>DRIVER WEIGHT REFERENCE (Base/Bull/Bear-cascading; used to split each segment's $ variance into Units/ASP/FX/Mix sub-components below)</t>
        </is>
      </c>
      <c r="B8" s="218" t="n"/>
      <c r="C8" s="218" t="n"/>
      <c r="D8" s="218" t="n"/>
      <c r="E8" s="218" t="n"/>
      <c r="F8" s="218" t="n"/>
      <c r="G8" s="218" t="n"/>
      <c r="H8" s="218" t="n"/>
      <c r="I8" s="218" t="n"/>
      <c r="J8" s="219" t="n"/>
    </row>
    <row r="9" ht="55" customHeight="1">
      <c r="A9" s="154" t="inlineStr">
        <is>
          <t>weight_x = ABS(that driver's Active rate) / SUM(ABS(all four Active rates)) for the SAME segment -- e.g. iPhone's Units weight = ABS(iPhone_Units_Growth_Active) / (ABS(iPhone_Units_Growth_Active)+ABS(iPhone_ASP_YoY_Active)+ABS(FX_Impact_Active)+ABS(Mix_Impact_Active)). FX Impact and Mix Impact are consolidated (single Drivers-tab Active cells, not segment-specific), so they repeat across all 5 rows. Services uses Installed Base Growth in place of "Units" and ARPU YoY in place of "ASP" (same Units x ASP-equivalent structure Drivers! rows 24-26 already use).</t>
        </is>
      </c>
      <c r="B9" s="218" t="n"/>
      <c r="C9" s="218" t="n"/>
      <c r="D9" s="218" t="n"/>
      <c r="E9" s="218" t="n"/>
      <c r="F9" s="218" t="n"/>
      <c r="G9" s="218" t="n"/>
      <c r="H9" s="218" t="n"/>
      <c r="I9" s="218" t="n"/>
      <c r="J9" s="219" t="n"/>
    </row>
    <row r="10" ht="30" customHeight="1">
      <c r="A10" s="182" t="inlineStr">
        <is>
          <t>Segment</t>
        </is>
      </c>
      <c r="B10" s="182" t="inlineStr">
        <is>
          <t>Units/Installed-Base Growth
(Active, rate)</t>
        </is>
      </c>
      <c r="C10" s="182" t="inlineStr">
        <is>
          <t>ASP/ARPU YoY
(Active, rate)</t>
        </is>
      </c>
      <c r="D10" s="182" t="inlineStr">
        <is>
          <t>FX Impact
(Active, rate)</t>
        </is>
      </c>
      <c r="E10" s="182" t="inlineStr">
        <is>
          <t>Mix Impact
(Active, rate)</t>
        </is>
      </c>
      <c r="F10" s="182" t="inlineStr">
        <is>
          <t>Units weight</t>
        </is>
      </c>
      <c r="G10" s="182" t="inlineStr">
        <is>
          <t>ASP weight</t>
        </is>
      </c>
      <c r="H10" s="182" t="inlineStr">
        <is>
          <t>FX weight</t>
        </is>
      </c>
      <c r="I10" s="182" t="inlineStr">
        <is>
          <t>Mix weight</t>
        </is>
      </c>
      <c r="J10" s="183" t="inlineStr">
        <is>
          <t>Check (sums to 100%)</t>
        </is>
      </c>
    </row>
    <row r="11">
      <c r="A11" s="127" t="inlineStr">
        <is>
          <t>iPhone</t>
        </is>
      </c>
      <c r="B11" s="142">
        <f>iPhone_Units_Growth_Active</f>
        <v>0.015</v>
      </c>
      <c r="C11" s="142">
        <f>iPhone_ASP_YoY_Active</f>
        <v>0.02</v>
      </c>
      <c r="D11" s="142">
        <f>FX_Impact_Active</f>
        <v>0</v>
      </c>
      <c r="E11" s="142">
        <f>Mix_Impact_Active</f>
        <v>0</v>
      </c>
      <c r="F11" s="142">
        <f>IFERROR(ABS(B11)/(ABS(B11)+ABS(C11)+ABS(D11)+ABS(E11)),0.25)</f>
        <v>0.428571428571428</v>
      </c>
      <c r="G11" s="142">
        <f>IFERROR(ABS(C11)/(ABS(B11)+ABS(C11)+ABS(D11)+ABS(E11)),0.25)</f>
        <v>0.571428571428571</v>
      </c>
      <c r="H11" s="142">
        <f>IFERROR(ABS(D11)/(ABS(B11)+ABS(C11)+ABS(D11)+ABS(E11)),0.25)</f>
        <v>0</v>
      </c>
      <c r="I11" s="142">
        <f>IFERROR(ABS(E11)/(ABS(B11)+ABS(C11)+ABS(D11)+ABS(E11)),0.25)</f>
        <v>0</v>
      </c>
      <c r="J11" s="142">
        <f>SUM(F11:I11)</f>
        <v>1</v>
      </c>
    </row>
    <row r="12">
      <c r="A12" s="127" t="inlineStr">
        <is>
          <t>Mac</t>
        </is>
      </c>
      <c r="B12" s="142">
        <f>Mac_Units_Growth_Active</f>
        <v>0.04</v>
      </c>
      <c r="C12" s="142">
        <f>Mac_ASP_YoY_Active</f>
        <v>0.02</v>
      </c>
      <c r="D12" s="142">
        <f>FX_Impact_Active</f>
        <v>0</v>
      </c>
      <c r="E12" s="142">
        <f>Mix_Impact_Active</f>
        <v>0</v>
      </c>
      <c r="F12" s="142">
        <f>IFERROR(ABS(B12)/(ABS(B12)+ABS(C12)+ABS(D12)+ABS(E12)),0.25)</f>
        <v>0.666666666666667</v>
      </c>
      <c r="G12" s="142">
        <f>IFERROR(ABS(C12)/(ABS(B12)+ABS(C12)+ABS(D12)+ABS(E12)),0.25)</f>
        <v>0.333333333333333</v>
      </c>
      <c r="H12" s="142">
        <f>IFERROR(ABS(D12)/(ABS(B12)+ABS(C12)+ABS(D12)+ABS(E12)),0.25)</f>
        <v>0</v>
      </c>
      <c r="I12" s="142">
        <f>IFERROR(ABS(E12)/(ABS(B12)+ABS(C12)+ABS(D12)+ABS(E12)),0.25)</f>
        <v>0</v>
      </c>
      <c r="J12" s="142">
        <f>SUM(F12:I12)</f>
        <v>1</v>
      </c>
    </row>
    <row r="13">
      <c r="A13" s="127" t="inlineStr">
        <is>
          <t>iPad</t>
        </is>
      </c>
      <c r="B13" s="142">
        <f>iPad_Units_Growth_Active</f>
        <v>0.01</v>
      </c>
      <c r="C13" s="142">
        <f>iPad_ASP_YoY_Active</f>
        <v>0.015</v>
      </c>
      <c r="D13" s="142">
        <f>FX_Impact_Active</f>
        <v>0</v>
      </c>
      <c r="E13" s="142">
        <f>Mix_Impact_Active</f>
        <v>0</v>
      </c>
      <c r="F13" s="142">
        <f>IFERROR(ABS(B13)/(ABS(B13)+ABS(C13)+ABS(D13)+ABS(E13)),0.25)</f>
        <v>0.4</v>
      </c>
      <c r="G13" s="142">
        <f>IFERROR(ABS(C13)/(ABS(B13)+ABS(C13)+ABS(D13)+ABS(E13)),0.25)</f>
        <v>0.6</v>
      </c>
      <c r="H13" s="142">
        <f>IFERROR(ABS(D13)/(ABS(B13)+ABS(C13)+ABS(D13)+ABS(E13)),0.25)</f>
        <v>0</v>
      </c>
      <c r="I13" s="142">
        <f>IFERROR(ABS(E13)/(ABS(B13)+ABS(C13)+ABS(D13)+ABS(E13)),0.25)</f>
        <v>0</v>
      </c>
      <c r="J13" s="142">
        <f>SUM(F13:I13)</f>
        <v>1</v>
      </c>
    </row>
    <row r="14">
      <c r="A14" s="127" t="inlineStr">
        <is>
          <t>Wearables, Home and Accessories</t>
        </is>
      </c>
      <c r="B14" s="142">
        <f>Wearables_Home_and_Accessories_Units_Growth_Active</f>
        <v>-0.01</v>
      </c>
      <c r="C14" s="142">
        <f>Wearables_Home_and_Accessories_ASP_YoY_Active</f>
        <v>0.01</v>
      </c>
      <c r="D14" s="142">
        <f>FX_Impact_Active</f>
        <v>0</v>
      </c>
      <c r="E14" s="142">
        <f>Mix_Impact_Active</f>
        <v>0</v>
      </c>
      <c r="F14" s="142">
        <f>IFERROR(ABS(B14)/(ABS(B14)+ABS(C14)+ABS(D14)+ABS(E14)),0.25)</f>
        <v>0.5</v>
      </c>
      <c r="G14" s="142">
        <f>IFERROR(ABS(C14)/(ABS(B14)+ABS(C14)+ABS(D14)+ABS(E14)),0.25)</f>
        <v>0.5</v>
      </c>
      <c r="H14" s="142">
        <f>IFERROR(ABS(D14)/(ABS(B14)+ABS(C14)+ABS(D14)+ABS(E14)),0.25)</f>
        <v>0</v>
      </c>
      <c r="I14" s="142">
        <f>IFERROR(ABS(E14)/(ABS(B14)+ABS(C14)+ABS(D14)+ABS(E14)),0.25)</f>
        <v>0</v>
      </c>
      <c r="J14" s="142">
        <f>SUM(F14:I14)</f>
        <v>1</v>
      </c>
    </row>
    <row r="15">
      <c r="A15" s="127" t="inlineStr">
        <is>
          <t>Services</t>
        </is>
      </c>
      <c r="B15" s="142">
        <f>Services_InstalledBase_Growth_Active</f>
        <v>0.075</v>
      </c>
      <c r="C15" s="142">
        <f>Services_ARPU_YoY_Active</f>
        <v>0.05</v>
      </c>
      <c r="D15" s="142">
        <f>FX_Impact_Active</f>
        <v>0</v>
      </c>
      <c r="E15" s="142">
        <f>Mix_Impact_Active</f>
        <v>0</v>
      </c>
      <c r="F15" s="142">
        <f>IFERROR(ABS(B15)/(ABS(B15)+ABS(C15)+ABS(D15)+ABS(E15)),0.25)</f>
        <v>0.6</v>
      </c>
      <c r="G15" s="142">
        <f>IFERROR(ABS(C15)/(ABS(B15)+ABS(C15)+ABS(D15)+ABS(E15)),0.25)</f>
        <v>0.4</v>
      </c>
      <c r="H15" s="142">
        <f>IFERROR(ABS(D15)/(ABS(B15)+ABS(C15)+ABS(D15)+ABS(E15)),0.25)</f>
        <v>0</v>
      </c>
      <c r="I15" s="142">
        <f>IFERROR(ABS(E15)/(ABS(B15)+ABS(C15)+ABS(D15)+ABS(E15)),0.25)</f>
        <v>0</v>
      </c>
      <c r="J15" s="142">
        <f>SUM(F15:I15)</f>
        <v>1</v>
      </c>
    </row>
    <row r="16" ht="40" customHeight="1">
      <c r="A16" s="154" t="inlineStr">
        <is>
          <t>Under the delivered Base scenario, FX Impact and Mix Impact are both 0% (Drivers! rows 29-30), so every segment's Units/ASP/FX/Mix split above collapses to a pure Units-vs-ASP split with $0 FX/Mix contribution in every waterfall below -- this is a direct, mechanical consequence of the Base scenario's own assumptions (not a bridge-method choice), and the FX/Mix columns activate automatically with non-zero contributions if the Scenario switch (Drivers!B6) is set to Bull or Bear.</t>
        </is>
      </c>
      <c r="B16" s="218" t="n"/>
      <c r="C16" s="218" t="n"/>
      <c r="D16" s="218" t="n"/>
      <c r="E16" s="218" t="n"/>
      <c r="F16" s="218" t="n"/>
      <c r="G16" s="218" t="n"/>
      <c r="H16" s="218" t="n"/>
      <c r="I16" s="218" t="n"/>
      <c r="J16" s="219" t="n"/>
    </row>
    <row r="17">
      <c r="A17" s="184" t="inlineStr">
        <is>
          <t>WATERFALL A: FY2026 Approved AOP (Q1) -&gt; Q1 FY2026 Actual  (REAL variance; ties to IS!R41)</t>
        </is>
      </c>
      <c r="B17" s="218" t="n"/>
      <c r="C17" s="218" t="n"/>
      <c r="D17" s="218" t="n"/>
      <c r="E17" s="218" t="n"/>
      <c r="F17" s="218" t="n"/>
      <c r="G17" s="218" t="n"/>
      <c r="H17" s="218" t="n"/>
      <c r="I17" s="218" t="n"/>
      <c r="J17" s="219" t="n"/>
    </row>
    <row r="18" ht="55" customHeight="1">
      <c r="A18" s="154" t="inlineStr">
        <is>
          <t>Total $ variance = IS!R41 (Q1 vs AOP Variance $), a REAL actual-vs-plan number (Q1 FY2026 actual net sales vs. the Approved AOP Q1 assumption). Segment $ variance = IS! rows 73-77 (Q1 FU's grossed-up annual revenue) minus IS! rows 18/21/24/27/30 (AOP annual revenue) -- Task 13's own formulas; these five deltas sum to R41 exactly because Task 13 defined the uplift ratio (IS!G65) as R41 / AOP Annual Total (IS!B31).</t>
        </is>
      </c>
      <c r="B18" s="218" t="n"/>
      <c r="C18" s="218" t="n"/>
      <c r="D18" s="218" t="n"/>
      <c r="E18" s="218" t="n"/>
      <c r="F18" s="218" t="n"/>
      <c r="G18" s="218" t="n"/>
      <c r="H18" s="218" t="n"/>
      <c r="I18" s="218" t="n"/>
      <c r="J18" s="219" t="n"/>
    </row>
    <row r="19" ht="24" customHeight="1">
      <c r="A19" s="162" t="inlineStr">
        <is>
          <t>Segment</t>
        </is>
      </c>
      <c r="B19" s="162" t="inlineStr">
        <is>
          <t>Units $</t>
        </is>
      </c>
      <c r="C19" s="162" t="inlineStr">
        <is>
          <t>ASP $</t>
        </is>
      </c>
      <c r="D19" s="162" t="inlineStr">
        <is>
          <t>FX $</t>
        </is>
      </c>
      <c r="E19" s="162" t="inlineStr">
        <is>
          <t>Mix $</t>
        </is>
      </c>
      <c r="F19" s="162" t="inlineStr">
        <is>
          <t>Total Segment $ Variance</t>
        </is>
      </c>
      <c r="G19" s="162" t="inlineStr">
        <is>
          <t>% of Total Variance</t>
        </is>
      </c>
      <c r="H19" s="129" t="n"/>
      <c r="I19" s="129" t="n"/>
      <c r="J19" s="129" t="n"/>
    </row>
    <row r="20">
      <c r="A20" s="127" t="inlineStr">
        <is>
          <t>iPhone</t>
        </is>
      </c>
      <c r="B20" s="146">
        <f>$F20*F11</f>
        <v>2251.4850753848</v>
      </c>
      <c r="C20" s="146">
        <f>$F20*G11</f>
        <v>3001.98010051307</v>
      </c>
      <c r="D20" s="146">
        <f>$F20*H11</f>
        <v>0</v>
      </c>
      <c r="E20" s="146">
        <f>$F20*I11</f>
        <v>0</v>
      </c>
      <c r="F20" s="146">
        <f>'IS'!B73-'IS'!B18</f>
        <v>5253.46517589787</v>
      </c>
      <c r="G20" s="142">
        <f>IFERROR(F20/$F$25,0)</f>
        <v>0.492738551521078</v>
      </c>
      <c r="H20" s="129" t="n"/>
      <c r="I20" s="129" t="n"/>
      <c r="J20" s="129" t="n"/>
    </row>
    <row r="21">
      <c r="A21" s="127" t="inlineStr">
        <is>
          <t>Mac</t>
        </is>
      </c>
      <c r="B21" s="146">
        <f>$F21*F12</f>
        <v>577.155198668169</v>
      </c>
      <c r="C21" s="146">
        <f>$F21*G12</f>
        <v>288.577599334084</v>
      </c>
      <c r="D21" s="146">
        <f>$F21*H12</f>
        <v>0</v>
      </c>
      <c r="E21" s="146">
        <f>$F21*I12</f>
        <v>0</v>
      </c>
      <c r="F21" s="146">
        <f>'IS'!B74-'IS'!B21</f>
        <v>865.732798002253</v>
      </c>
      <c r="G21" s="142">
        <f>IFERROR(F21/$F$25,0)</f>
        <v>0.0811997244883255</v>
      </c>
      <c r="H21" s="129" t="n"/>
      <c r="I21" s="129" t="n"/>
      <c r="J21" s="129" t="n"/>
    </row>
    <row r="22">
      <c r="A22" s="127" t="inlineStr">
        <is>
          <t>iPad</t>
        </is>
      </c>
      <c r="B22" s="146">
        <f>$F22*F13</f>
        <v>278.214274472435</v>
      </c>
      <c r="C22" s="146">
        <f>$F22*G13</f>
        <v>417.321411708652</v>
      </c>
      <c r="D22" s="146">
        <f>$F22*H13</f>
        <v>0</v>
      </c>
      <c r="E22" s="146">
        <f>$F22*I13</f>
        <v>0</v>
      </c>
      <c r="F22" s="146">
        <f>'IS'!B75-'IS'!B24</f>
        <v>695.535686181087</v>
      </c>
      <c r="G22" s="142">
        <f>IFERROR(F22/$F$25,0)</f>
        <v>0.0652364173103162</v>
      </c>
      <c r="H22" s="129" t="n"/>
      <c r="I22" s="129" t="n"/>
      <c r="J22" s="129" t="n"/>
    </row>
    <row r="23">
      <c r="A23" s="127" t="inlineStr">
        <is>
          <t>Wearables, Home and Accessories</t>
        </is>
      </c>
      <c r="B23" s="146">
        <f>$F23*F14</f>
        <v>431.958295202054</v>
      </c>
      <c r="C23" s="146">
        <f>$F23*G14</f>
        <v>431.958295202054</v>
      </c>
      <c r="D23" s="146">
        <f>$F23*H14</f>
        <v>0</v>
      </c>
      <c r="E23" s="146">
        <f>$F23*I14</f>
        <v>0</v>
      </c>
      <c r="F23" s="146">
        <f>'IS'!B76-'IS'!B27</f>
        <v>863.916590404107</v>
      </c>
      <c r="G23" s="142">
        <f>IFERROR(F23/$F$25,0)</f>
        <v>0.0810293768280274</v>
      </c>
      <c r="H23" s="129" t="n"/>
      <c r="I23" s="129" t="n"/>
      <c r="J23" s="129" t="n"/>
    </row>
    <row r="24">
      <c r="A24" s="127" t="inlineStr">
        <is>
          <t>Services</t>
        </is>
      </c>
      <c r="B24" s="146">
        <f>$F24*F15</f>
        <v>1789.87193427332</v>
      </c>
      <c r="C24" s="146">
        <f>$F24*G15</f>
        <v>1193.24795618221</v>
      </c>
      <c r="D24" s="146">
        <f>$F24*H15</f>
        <v>0</v>
      </c>
      <c r="E24" s="146">
        <f>$F24*I15</f>
        <v>0</v>
      </c>
      <c r="F24" s="146">
        <f>'IS'!B77-'IS'!B30</f>
        <v>2983.11989045553</v>
      </c>
      <c r="G24" s="142">
        <f>IFERROR(F24/$F$25,0)</f>
        <v>0.279795929852253</v>
      </c>
      <c r="H24" s="129" t="n"/>
      <c r="I24" s="129" t="n"/>
      <c r="J24" s="129" t="n"/>
    </row>
    <row r="25">
      <c r="A25" s="185" t="inlineStr">
        <is>
          <t>TOTAL (sum of 5 segments)</t>
        </is>
      </c>
      <c r="B25" s="171">
        <f>SUM(B20:B24)</f>
        <v>5328.68477800078</v>
      </c>
      <c r="C25" s="171">
        <f>SUM(C20:C24)</f>
        <v>5333.08536294007</v>
      </c>
      <c r="D25" s="171">
        <f>SUM(D20:D24)</f>
        <v>0</v>
      </c>
      <c r="E25" s="171">
        <f>SUM(E20:E24)</f>
        <v>0</v>
      </c>
      <c r="F25" s="171">
        <f>SUM(F20:F24)</f>
        <v>10661.7701409409</v>
      </c>
      <c r="G25" s="186">
        <f>SUM(G20:G24)</f>
        <v>1</v>
      </c>
      <c r="H25" s="129" t="n"/>
      <c r="I25" s="129" t="n"/>
      <c r="J25" s="129" t="n"/>
    </row>
    <row r="26">
      <c r="A26" s="187" t="inlineStr">
        <is>
          <t>CHECK: SUM of all Units+ASP+FX+Mix sub-components (all 5 segments, independent of the TOTAL row above) vs. the IS-tab total variance -- Bridge Sum | IS Tab Total | Difference (must be $0)</t>
        </is>
      </c>
      <c r="B26" s="218" t="n"/>
      <c r="C26" s="218" t="n"/>
      <c r="D26" s="219" t="n"/>
      <c r="E26" s="171">
        <f>SUM(B20:E24)</f>
        <v>10661.7701409409</v>
      </c>
      <c r="F26" s="171">
        <f>'IS'!R41</f>
        <v>10661.7701409408</v>
      </c>
      <c r="G26" s="171">
        <f>E26-F26</f>
        <v>7.27595761418343e-12</v>
      </c>
      <c r="H26" s="143" t="inlineStr">
        <is>
          <t>IS!R41 = Q1 vs AOP Variance ($), row 41 column R.</t>
        </is>
      </c>
      <c r="I26" s="218" t="n"/>
      <c r="J26" s="219" t="n"/>
    </row>
    <row r="27">
      <c r="A27" s="129" t="n"/>
      <c r="B27" s="129" t="n"/>
      <c r="C27" s="129" t="n"/>
      <c r="D27" s="129" t="n"/>
      <c r="E27" s="129" t="n"/>
      <c r="F27" s="129" t="n"/>
      <c r="G27" s="129" t="n"/>
      <c r="H27" s="129" t="n"/>
      <c r="I27" s="129" t="n"/>
      <c r="J27" s="129" t="n"/>
    </row>
    <row r="28">
      <c r="A28" s="188" t="inlineStr">
        <is>
          <t>WATERFALL B: Q1 Forecast Update's own Q2 -&gt; Q2 FY2026 Actual  (REAL variance; ties to IS!Z41)</t>
        </is>
      </c>
      <c r="B28" s="218" t="n"/>
      <c r="C28" s="218" t="n"/>
      <c r="D28" s="218" t="n"/>
      <c r="E28" s="218" t="n"/>
      <c r="F28" s="218" t="n"/>
      <c r="G28" s="218" t="n"/>
      <c r="H28" s="218" t="n"/>
      <c r="I28" s="218" t="n"/>
      <c r="J28" s="219" t="n"/>
    </row>
    <row r="29" ht="55" customHeight="1">
      <c r="A29" s="154" t="inlineStr">
        <is>
          <t>Total $ variance = IS!Z41 (Q2 vs Q1 FU Variance $), a REAL actual-vs-plan number (Q2 FY2026 actual net sales vs. the Q1 Forecast Update's own Q2 assumption). Segment $ variance = IS! rows 94-98 (Q3 Reforecast's grossed-up annual revenue) minus IS! rows 73-77 (Q1 FU annual revenue) -- Task 14's own formulas; these five deltas sum to Z41 exactly because Task 14 defined the uplift ratio (IS!G86) as Z41 / Q1 FU Annual Total (IS!B78).</t>
        </is>
      </c>
      <c r="B29" s="218" t="n"/>
      <c r="C29" s="218" t="n"/>
      <c r="D29" s="218" t="n"/>
      <c r="E29" s="218" t="n"/>
      <c r="F29" s="218" t="n"/>
      <c r="G29" s="218" t="n"/>
      <c r="H29" s="218" t="n"/>
      <c r="I29" s="218" t="n"/>
      <c r="J29" s="219" t="n"/>
    </row>
    <row r="30" ht="24" customHeight="1">
      <c r="A30" s="163" t="inlineStr">
        <is>
          <t>Segment</t>
        </is>
      </c>
      <c r="B30" s="163" t="inlineStr">
        <is>
          <t>Units $</t>
        </is>
      </c>
      <c r="C30" s="163" t="inlineStr">
        <is>
          <t>ASP $</t>
        </is>
      </c>
      <c r="D30" s="163" t="inlineStr">
        <is>
          <t>FX $</t>
        </is>
      </c>
      <c r="E30" s="163" t="inlineStr">
        <is>
          <t>Mix $</t>
        </is>
      </c>
      <c r="F30" s="163" t="inlineStr">
        <is>
          <t>Total Segment $ Variance</t>
        </is>
      </c>
      <c r="G30" s="163" t="inlineStr">
        <is>
          <t>% of Total Variance</t>
        </is>
      </c>
      <c r="H30" s="129" t="n"/>
      <c r="I30" s="129" t="n"/>
      <c r="J30" s="129" t="n"/>
    </row>
    <row r="31">
      <c r="A31" s="127" t="inlineStr">
        <is>
          <t>iPhone</t>
        </is>
      </c>
      <c r="B31" s="146">
        <f>$F31*F11</f>
        <v>1514.55152183849</v>
      </c>
      <c r="C31" s="146">
        <f>$F31*G11</f>
        <v>2019.40202911798</v>
      </c>
      <c r="D31" s="146">
        <f>$F31*H11</f>
        <v>0</v>
      </c>
      <c r="E31" s="146">
        <f>$F31*I11</f>
        <v>0</v>
      </c>
      <c r="F31" s="146">
        <f>'IS'!B94-'IS'!B73</f>
        <v>3533.95355095647</v>
      </c>
      <c r="G31" s="142">
        <f>IFERROR(F31/$F$36,0)</f>
        <v>0.492738551521079</v>
      </c>
      <c r="H31" s="129" t="n"/>
      <c r="I31" s="129" t="n"/>
      <c r="J31" s="129" t="n"/>
    </row>
    <row r="32">
      <c r="A32" s="127" t="inlineStr">
        <is>
          <t>Mac</t>
        </is>
      </c>
      <c r="B32" s="146">
        <f>$F32*F12</f>
        <v>388.246537379542</v>
      </c>
      <c r="C32" s="146">
        <f>$F32*G12</f>
        <v>194.123268689771</v>
      </c>
      <c r="D32" s="146">
        <f>$F32*H12</f>
        <v>0</v>
      </c>
      <c r="E32" s="146">
        <f>$F32*I12</f>
        <v>0</v>
      </c>
      <c r="F32" s="146">
        <f>'IS'!B95-'IS'!B74</f>
        <v>582.369806069313</v>
      </c>
      <c r="G32" s="142">
        <f>IFERROR(F32/$F$36,0)</f>
        <v>0.0811997244883254</v>
      </c>
      <c r="H32" s="129" t="n"/>
      <c r="I32" s="129" t="n"/>
      <c r="J32" s="129" t="n"/>
    </row>
    <row r="33">
      <c r="A33" s="127" t="inlineStr">
        <is>
          <t>iPad</t>
        </is>
      </c>
      <c r="B33" s="146">
        <f>$F33*F13</f>
        <v>187.151963566714</v>
      </c>
      <c r="C33" s="146">
        <f>$F33*G13</f>
        <v>280.727945350071</v>
      </c>
      <c r="D33" s="146">
        <f>$F33*H13</f>
        <v>0</v>
      </c>
      <c r="E33" s="146">
        <f>$F33*I13</f>
        <v>0</v>
      </c>
      <c r="F33" s="146">
        <f>'IS'!B96-'IS'!B75</f>
        <v>467.879908916784</v>
      </c>
      <c r="G33" s="142">
        <f>IFERROR(F33/$F$36,0)</f>
        <v>0.0652364173103162</v>
      </c>
      <c r="H33" s="129" t="n"/>
      <c r="I33" s="129" t="n"/>
      <c r="J33" s="129" t="n"/>
    </row>
    <row r="34">
      <c r="A34" s="127" t="inlineStr">
        <is>
          <t>Wearables, Home and Accessories</t>
        </is>
      </c>
      <c r="B34" s="146">
        <f>$F34*F14</f>
        <v>290.574030679378</v>
      </c>
      <c r="C34" s="146">
        <f>$F34*G14</f>
        <v>290.574030679378</v>
      </c>
      <c r="D34" s="146">
        <f>$F34*H14</f>
        <v>0</v>
      </c>
      <c r="E34" s="146">
        <f>$F34*I14</f>
        <v>0</v>
      </c>
      <c r="F34" s="146">
        <f>'IS'!B97-'IS'!B76</f>
        <v>581.148061358756</v>
      </c>
      <c r="G34" s="142">
        <f>IFERROR(F34/$F$36,0)</f>
        <v>0.081029376828027</v>
      </c>
      <c r="H34" s="129" t="n"/>
      <c r="I34" s="129" t="n"/>
      <c r="J34" s="129" t="n"/>
    </row>
    <row r="35">
      <c r="A35" s="127" t="inlineStr">
        <is>
          <t>Services</t>
        </is>
      </c>
      <c r="B35" s="146">
        <f>$F35*F15</f>
        <v>1204.02897251555</v>
      </c>
      <c r="C35" s="146">
        <f>$F35*G15</f>
        <v>802.68598167703</v>
      </c>
      <c r="D35" s="146">
        <f>$F35*H15</f>
        <v>0</v>
      </c>
      <c r="E35" s="146">
        <f>$F35*I15</f>
        <v>0</v>
      </c>
      <c r="F35" s="146">
        <f>'IS'!B98-'IS'!B77</f>
        <v>2006.71495419258</v>
      </c>
      <c r="G35" s="142">
        <f>IFERROR(F35/$F$36,0)</f>
        <v>0.279795929852253</v>
      </c>
      <c r="H35" s="129" t="n"/>
      <c r="I35" s="129" t="n"/>
      <c r="J35" s="129" t="n"/>
    </row>
    <row r="36">
      <c r="A36" s="185" t="inlineStr">
        <is>
          <t>TOTAL (sum of 5 segments)</t>
        </is>
      </c>
      <c r="B36" s="171">
        <f>SUM(B31:B35)</f>
        <v>3584.55302597967</v>
      </c>
      <c r="C36" s="171">
        <f>SUM(C31:C35)</f>
        <v>3587.51325551423</v>
      </c>
      <c r="D36" s="171">
        <f>SUM(D31:D35)</f>
        <v>0</v>
      </c>
      <c r="E36" s="171">
        <f>SUM(E31:E35)</f>
        <v>0</v>
      </c>
      <c r="F36" s="171">
        <f>SUM(F31:F35)</f>
        <v>7172.0662814939</v>
      </c>
      <c r="G36" s="186">
        <f>SUM(G31:G35)</f>
        <v>1</v>
      </c>
      <c r="H36" s="129" t="n"/>
      <c r="I36" s="129" t="n"/>
      <c r="J36" s="129" t="n"/>
    </row>
    <row r="37">
      <c r="A37" s="187" t="inlineStr">
        <is>
          <t>CHECK: SUM of all Units+ASP+FX+Mix sub-components (all 5 segments, independent of the TOTAL row above) vs. the IS-tab total variance -- Bridge Sum | IS Tab Total | Difference (must be $0)</t>
        </is>
      </c>
      <c r="B37" s="218" t="n"/>
      <c r="C37" s="218" t="n"/>
      <c r="D37" s="219" t="n"/>
      <c r="E37" s="171">
        <f>SUM(B31:E35)</f>
        <v>7172.0662814939</v>
      </c>
      <c r="F37" s="171">
        <f>'IS'!Z41</f>
        <v>7172.06628149386</v>
      </c>
      <c r="G37" s="171">
        <f>E37-F37</f>
        <v>4.72937244921923e-11</v>
      </c>
      <c r="H37" s="143" t="inlineStr">
        <is>
          <t>IS!Z41 = Q2 vs Q1 FU Variance ($), row 41 column Z.</t>
        </is>
      </c>
      <c r="I37" s="218" t="n"/>
      <c r="J37" s="219" t="n"/>
    </row>
    <row r="38">
      <c r="A38" s="129" t="n"/>
      <c r="B38" s="129" t="n"/>
      <c r="C38" s="129" t="n"/>
      <c r="D38" s="129" t="n"/>
      <c r="E38" s="129" t="n"/>
      <c r="F38" s="129" t="n"/>
      <c r="G38" s="129" t="n"/>
      <c r="H38" s="129" t="n"/>
      <c r="I38" s="129" t="n"/>
      <c r="J38" s="129" t="n"/>
    </row>
    <row r="39">
      <c r="A39" s="189" t="inlineStr">
        <is>
          <t>WATERFALL C: Q1 Forecast Update's Q3+Q4 -&gt; Q3 Reforecast's Q3+Q4  (forecast revision; ties to a value computed on this tab, not a pre-built IS-tab column -- see row 3 deviation note)</t>
        </is>
      </c>
      <c r="B39" s="218" t="n"/>
      <c r="C39" s="218" t="n"/>
      <c r="D39" s="218" t="n"/>
      <c r="E39" s="218" t="n"/>
      <c r="F39" s="218" t="n"/>
      <c r="G39" s="218" t="n"/>
      <c r="H39" s="218" t="n"/>
      <c r="I39" s="218" t="n"/>
      <c r="J39" s="219" t="n"/>
    </row>
    <row r="40" ht="55" customHeight="1">
      <c r="A40" s="154" t="inlineStr">
        <is>
          <t>Total $ variance = (IS!AB41+IS!AC41) - (IS!U41+IS!V41): Q3 Reforecast's Q3+Q4 forecast minus Q1 Forecast Update's own Q3+Q4 forecast for the SAME two future quarters -- a forecast-REVISION, not an actual-vs-plan variance (Q3-Q4 FY2026 have not happened yet). See row 3 above for why this is scoped to Q3+Q4 only, not the FY26 Total columns. Segment $ variance = (IS! AB+AC) minus (IS! U+V) per segment, which algebraically equals Waterfall B's own segment delta (IS! rows 94-98 minus 73-77) multiplied by the Q3+Q4 seasonality weight (IS!D12+IS!E12) -- Waterfall C is not new information: it is Waterfall B's real Q2 beat, re-seasonalized onto the two quarters it actually gets applied to going forward.</t>
        </is>
      </c>
      <c r="B40" s="218" t="n"/>
      <c r="C40" s="218" t="n"/>
      <c r="D40" s="218" t="n"/>
      <c r="E40" s="218" t="n"/>
      <c r="F40" s="218" t="n"/>
      <c r="G40" s="218" t="n"/>
      <c r="H40" s="218" t="n"/>
      <c r="I40" s="218" t="n"/>
      <c r="J40" s="219" t="n"/>
    </row>
    <row r="41" ht="24" customHeight="1">
      <c r="A41" s="160" t="inlineStr">
        <is>
          <t>Segment</t>
        </is>
      </c>
      <c r="B41" s="160" t="inlineStr">
        <is>
          <t>Units $</t>
        </is>
      </c>
      <c r="C41" s="160" t="inlineStr">
        <is>
          <t>ASP $</t>
        </is>
      </c>
      <c r="D41" s="160" t="inlineStr">
        <is>
          <t>FX $</t>
        </is>
      </c>
      <c r="E41" s="160" t="inlineStr">
        <is>
          <t>Mix $</t>
        </is>
      </c>
      <c r="F41" s="160" t="inlineStr">
        <is>
          <t>Total Segment $ Variance</t>
        </is>
      </c>
      <c r="G41" s="160" t="inlineStr">
        <is>
          <t>% of Total Variance</t>
        </is>
      </c>
      <c r="H41" s="129" t="n"/>
      <c r="I41" s="129" t="n"/>
      <c r="J41" s="129" t="n"/>
    </row>
    <row r="42">
      <c r="A42" s="127" t="inlineStr">
        <is>
          <t>iPhone</t>
        </is>
      </c>
      <c r="B42" s="146">
        <f>$F42*F11</f>
        <v>707.524794699923</v>
      </c>
      <c r="C42" s="146">
        <f>$F42*G11</f>
        <v>943.366392933231</v>
      </c>
      <c r="D42" s="146">
        <f>$F42*H11</f>
        <v>0</v>
      </c>
      <c r="E42" s="146">
        <f>$F42*I11</f>
        <v>0</v>
      </c>
      <c r="F42" s="146">
        <f>('IS'!AB35+'IS'!AC35)-('IS'!U35+'IS'!V35)</f>
        <v>1650.89118763315</v>
      </c>
      <c r="G42" s="142">
        <f>IFERROR(F42/$F$47,0)</f>
        <v>0.492738551521079</v>
      </c>
      <c r="H42" s="129" t="n"/>
      <c r="I42" s="129" t="n"/>
      <c r="J42" s="129" t="n"/>
    </row>
    <row r="43">
      <c r="A43" s="127" t="inlineStr">
        <is>
          <t>Mac</t>
        </is>
      </c>
      <c r="B43" s="146">
        <f>$F43*F12</f>
        <v>181.369895768861</v>
      </c>
      <c r="C43" s="146">
        <f>$F43*G12</f>
        <v>90.6849478844306</v>
      </c>
      <c r="D43" s="146">
        <f>$F43*H12</f>
        <v>0</v>
      </c>
      <c r="E43" s="146">
        <f>$F43*I12</f>
        <v>0</v>
      </c>
      <c r="F43" s="146">
        <f>('IS'!AB36+'IS'!AC36)-('IS'!U36+'IS'!V36)</f>
        <v>272.054843653292</v>
      </c>
      <c r="G43" s="142">
        <f>IFERROR(F43/$F$47,0)</f>
        <v>0.0811997244883254</v>
      </c>
      <c r="H43" s="129" t="n"/>
      <c r="I43" s="129" t="n"/>
      <c r="J43" s="129" t="n"/>
    </row>
    <row r="44">
      <c r="A44" s="127" t="inlineStr">
        <is>
          <t>iPad</t>
        </is>
      </c>
      <c r="B44" s="146">
        <f>$F44*F13</f>
        <v>87.4282932544222</v>
      </c>
      <c r="C44" s="146">
        <f>$F44*G13</f>
        <v>131.142439881633</v>
      </c>
      <c r="D44" s="146">
        <f>$F44*H13</f>
        <v>0</v>
      </c>
      <c r="E44" s="146">
        <f>$F44*I13</f>
        <v>0</v>
      </c>
      <c r="F44" s="146">
        <f>('IS'!AB37+'IS'!AC37)-('IS'!U37+'IS'!V37)</f>
        <v>218.570733136055</v>
      </c>
      <c r="G44" s="142">
        <f>IFERROR(F44/$F$47,0)</f>
        <v>0.0652364173103163</v>
      </c>
      <c r="H44" s="129" t="n"/>
      <c r="I44" s="129" t="n"/>
      <c r="J44" s="129" t="n"/>
    </row>
    <row r="45">
      <c r="A45" s="127" t="inlineStr">
        <is>
          <t>Wearables, Home and Accessories</t>
        </is>
      </c>
      <c r="B45" s="146">
        <f>$F45*F14</f>
        <v>135.742051978526</v>
      </c>
      <c r="C45" s="146">
        <f>$F45*G14</f>
        <v>135.742051978526</v>
      </c>
      <c r="D45" s="146">
        <f>$F45*H14</f>
        <v>0</v>
      </c>
      <c r="E45" s="146">
        <f>$F45*I14</f>
        <v>0</v>
      </c>
      <c r="F45" s="146">
        <f>('IS'!AB38+'IS'!AC38)-('IS'!U38+'IS'!V38)</f>
        <v>271.484103957053</v>
      </c>
      <c r="G45" s="142">
        <f>IFERROR(F45/$F$47,0)</f>
        <v>0.0810293768280272</v>
      </c>
      <c r="H45" s="129" t="n"/>
      <c r="I45" s="129" t="n"/>
      <c r="J45" s="129" t="n"/>
    </row>
    <row r="46">
      <c r="A46" s="127" t="inlineStr">
        <is>
          <t>Services</t>
        </is>
      </c>
      <c r="B46" s="146">
        <f>$F46*F15</f>
        <v>562.463765219248</v>
      </c>
      <c r="C46" s="146">
        <f>$F46*G15</f>
        <v>374.975843479499</v>
      </c>
      <c r="D46" s="146">
        <f>$F46*H15</f>
        <v>0</v>
      </c>
      <c r="E46" s="146">
        <f>$F46*I15</f>
        <v>0</v>
      </c>
      <c r="F46" s="146">
        <f>('IS'!AB40+'IS'!AC40)-('IS'!U40+'IS'!V40)</f>
        <v>937.439608698747</v>
      </c>
      <c r="G46" s="142">
        <f>IFERROR(F46/$F$47,0)</f>
        <v>0.279795929852252</v>
      </c>
      <c r="H46" s="129" t="n"/>
      <c r="I46" s="129" t="n"/>
      <c r="J46" s="129" t="n"/>
    </row>
    <row r="47">
      <c r="A47" s="185" t="inlineStr">
        <is>
          <t>TOTAL (sum of 5 segments)</t>
        </is>
      </c>
      <c r="B47" s="171">
        <f>SUM(B42:B46)</f>
        <v>1674.52880092098</v>
      </c>
      <c r="C47" s="171">
        <f>SUM(C42:C46)</f>
        <v>1675.91167615732</v>
      </c>
      <c r="D47" s="171">
        <f>SUM(D42:D46)</f>
        <v>0</v>
      </c>
      <c r="E47" s="171">
        <f>SUM(E42:E46)</f>
        <v>0</v>
      </c>
      <c r="F47" s="171">
        <f>SUM(F42:F46)</f>
        <v>3350.4404770783</v>
      </c>
      <c r="G47" s="186">
        <f>SUM(G42:G46)</f>
        <v>1</v>
      </c>
      <c r="H47" s="129" t="n"/>
      <c r="I47" s="129" t="n"/>
      <c r="J47" s="129" t="n"/>
    </row>
    <row r="48">
      <c r="A48" s="187" t="inlineStr">
        <is>
          <t>CHECK: SUM of all Units+ASP+FX+Mix sub-components (all 5 segments, independent of the TOTAL row above) vs. the IS-tab total variance -- Bridge Sum | IS Tab Total | Difference (must be $0)</t>
        </is>
      </c>
      <c r="B48" s="218" t="n"/>
      <c r="C48" s="218" t="n"/>
      <c r="D48" s="219" t="n"/>
      <c r="E48" s="171">
        <f>SUM(B42:E46)</f>
        <v>3350.4404770783</v>
      </c>
      <c r="F48" s="171">
        <f>('IS'!AB41+'IS'!AC41)-('IS'!U41+'IS'!V41)</f>
        <v>3350.44047707829</v>
      </c>
      <c r="G48" s="171">
        <f>E48-F48</f>
        <v>1.63709046319127e-11</v>
      </c>
      <c r="H48" s="143" t="inlineStr">
        <is>
          <t>Computed here (not an IS-tab cell): (IS!AB41+IS!AC41) - (IS!U41+IS!V41).</t>
        </is>
      </c>
      <c r="I48" s="218" t="n"/>
      <c r="J48" s="219" t="n"/>
    </row>
    <row r="49">
      <c r="A49" s="129" t="n"/>
      <c r="B49" s="129" t="n"/>
      <c r="C49" s="129" t="n"/>
      <c r="D49" s="129" t="n"/>
      <c r="E49" s="129" t="n"/>
      <c r="F49" s="129" t="n"/>
      <c r="G49" s="129" t="n"/>
      <c r="H49" s="129" t="n"/>
      <c r="I49" s="129" t="n"/>
      <c r="J49" s="129" t="n"/>
    </row>
    <row r="50" ht="60" customHeight="1">
      <c r="A50" s="180" t="inlineStr">
        <is>
          <t>Color legend: dark title bar = tab title; blue section header = Driver Weight Reference block; orange/gold/teal section headers = Waterfall A/B/C respectively (orange and gold match the IS tab's own Q1-vs-AOP and Q2-vs-Q1FU variance column colors; teal matches the IS tab's Q3 Reforecast vintage color, signaling Waterfall C is a forecast revision, not a realized variance); light green fill = live formula referencing the IS tab's own Annual Build rows (never hardcoded); light grey = TOTAL row; light grey CHECK row with a green/red Difference cell (green = ties out exactly, red = does not -- conditional formatting, live). All $ figures in $M. Every Units/ASP/FX/Mix weight (rows 11-15) and every $ figure below is an ESTIMATE traceable to the Drivers tab's Active assumptions and the IS tab's own Driver Adjustment Log / Annual Build formulas -- not independently disclosed data (see the caveat in row 6).</t>
        </is>
      </c>
      <c r="B50" s="218" t="n"/>
      <c r="C50" s="218" t="n"/>
      <c r="D50" s="218" t="n"/>
      <c r="E50" s="218" t="n"/>
      <c r="F50" s="218" t="n"/>
      <c r="G50" s="218" t="n"/>
      <c r="H50" s="218" t="n"/>
      <c r="I50" s="218" t="n"/>
      <c r="J50" s="219" t="n"/>
    </row>
  </sheetData>
  <mergeCells count="21">
    <mergeCell ref="A8:J8"/>
    <mergeCell ref="A17:J17"/>
    <mergeCell ref="A29:J29"/>
    <mergeCell ref="A4:J4"/>
    <mergeCell ref="A28:J28"/>
    <mergeCell ref="A40:J40"/>
    <mergeCell ref="A9:J9"/>
    <mergeCell ref="A48:D48"/>
    <mergeCell ref="H37:J37"/>
    <mergeCell ref="A39:J39"/>
    <mergeCell ref="H48:J48"/>
    <mergeCell ref="A1:J1"/>
    <mergeCell ref="A6:J6"/>
    <mergeCell ref="A16:J16"/>
    <mergeCell ref="H26:J26"/>
    <mergeCell ref="A37:D37"/>
    <mergeCell ref="A18:J18"/>
    <mergeCell ref="A26:D26"/>
    <mergeCell ref="A3:J3"/>
    <mergeCell ref="A50:J50"/>
    <mergeCell ref="A2:J2"/>
  </mergeCells>
  <conditionalFormatting sqref="G26">
    <cfRule type="expression" priority="1" dxfId="0">
      <formula>ROUND(G26,4)=0</formula>
    </cfRule>
    <cfRule type="expression" priority="2" dxfId="1">
      <formula>ROUND(G26,4)&lt;&gt;0</formula>
    </cfRule>
  </conditionalFormatting>
  <conditionalFormatting sqref="G37">
    <cfRule type="expression" priority="3" dxfId="0">
      <formula>ROUND(G37,4)=0</formula>
    </cfRule>
    <cfRule type="expression" priority="4" dxfId="1">
      <formula>ROUND(G37,4)&lt;&gt;0</formula>
    </cfRule>
  </conditionalFormatting>
  <conditionalFormatting sqref="G48">
    <cfRule type="expression" priority="5" dxfId="0">
      <formula>ROUND(G48,4)=0</formula>
    </cfRule>
    <cfRule type="expression" priority="6" dxfId="1">
      <formula>ROUND(G48,4)&lt;&gt;0</formula>
    </cfRule>
  </conditionalFormatting>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V95"/>
  <sheetViews>
    <sheetView showGridLines="1" workbookViewId="0">
      <pane xSplit="1" ySplit="10" topLeftCell="B11" activePane="bottomRight" state="frozen"/>
      <selection pane="top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46" customWidth="1" min="1" max="1"/>
    <col width="22"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s>
  <sheetData>
    <row r="1" ht="22" customHeight="1">
      <c r="A1" s="126" t="inlineStr">
        <is>
          <t>Apple Inc. -- Driver-Based Rolling Forecast Model: SENSITIVITY ANALYSIS (FY2027 AOP)</t>
        </is>
      </c>
      <c r="B1" s="218" t="n"/>
      <c r="C1" s="218" t="n"/>
      <c r="D1" s="218" t="n"/>
      <c r="E1" s="218" t="n"/>
      <c r="F1" s="218" t="n"/>
      <c r="G1" s="218" t="n"/>
      <c r="H1" s="218" t="n"/>
      <c r="I1" s="218" t="n"/>
      <c r="J1" s="218" t="n"/>
      <c r="K1" s="218" t="n"/>
      <c r="L1" s="218" t="n"/>
      <c r="M1" s="218" t="n"/>
      <c r="N1" s="218" t="n"/>
      <c r="O1" s="218" t="n"/>
      <c r="P1" s="218" t="n"/>
      <c r="Q1" s="218" t="n"/>
      <c r="R1" s="218" t="n"/>
      <c r="S1" s="218" t="n"/>
      <c r="T1" s="218" t="n"/>
      <c r="U1" s="218" t="n"/>
      <c r="V1" s="218" t="n"/>
      <c r="W1" s="218" t="n"/>
      <c r="X1" s="218" t="n"/>
      <c r="Y1" s="218" t="n"/>
      <c r="Z1" s="218" t="n"/>
      <c r="AA1" s="218" t="n"/>
      <c r="AB1" s="218" t="n"/>
      <c r="AC1" s="218" t="n"/>
      <c r="AD1" s="218" t="n"/>
      <c r="AE1" s="218" t="n"/>
      <c r="AF1" s="218" t="n"/>
      <c r="AG1" s="218" t="n"/>
      <c r="AH1" s="218" t="n"/>
      <c r="AI1" s="218" t="n"/>
      <c r="AJ1" s="218" t="n"/>
      <c r="AK1" s="218" t="n"/>
      <c r="AL1" s="218" t="n"/>
      <c r="AM1" s="218" t="n"/>
      <c r="AN1" s="218" t="n"/>
      <c r="AO1" s="218" t="n"/>
      <c r="AP1" s="218" t="n"/>
      <c r="AQ1" s="218" t="n"/>
      <c r="AR1" s="218" t="n"/>
      <c r="AS1" s="218" t="n"/>
      <c r="AT1" s="218" t="n"/>
      <c r="AU1" s="218" t="n"/>
      <c r="AV1" s="219" t="n"/>
    </row>
    <row r="2" ht="40" customHeight="1">
      <c r="A2" s="154" t="inlineStr">
        <is>
          <t>Consumes: Drivers tab (column D = Base scenario values for all 29 drivers -- NOT the Active column, and NOT whatever Drivers!B6 is currently set to, so this tab's baseline never moves when the live Scenario switch is toggled), and the IS/BS/CF tabs' FY2027 AOP formula chain built by Tasks 12/15/16 (IS! rows 107-123 &amp; AF:AJ; CF! rows 13-32). Nothing on the Drivers/IS/BS/CF/Forecast Bridge tabs is read-modified -- every cell below is either a live formula link to an existing cell, or a fresh arithmetic formula built on this tab.</t>
        </is>
      </c>
      <c r="B2" s="218" t="n"/>
      <c r="C2" s="218" t="n"/>
      <c r="D2" s="218" t="n"/>
      <c r="E2" s="218" t="n"/>
      <c r="F2" s="218" t="n"/>
      <c r="G2" s="218" t="n"/>
      <c r="H2" s="218" t="n"/>
      <c r="I2" s="218" t="n"/>
      <c r="J2" s="218" t="n"/>
      <c r="K2" s="218" t="n"/>
      <c r="L2" s="218" t="n"/>
      <c r="M2" s="218" t="n"/>
      <c r="N2" s="218" t="n"/>
      <c r="O2" s="218" t="n"/>
      <c r="P2" s="218" t="n"/>
      <c r="Q2" s="218" t="n"/>
      <c r="R2" s="218" t="n"/>
      <c r="S2" s="218" t="n"/>
      <c r="T2" s="218" t="n"/>
      <c r="U2" s="218" t="n"/>
      <c r="V2" s="218" t="n"/>
      <c r="W2" s="218" t="n"/>
      <c r="X2" s="218" t="n"/>
      <c r="Y2" s="218" t="n"/>
      <c r="Z2" s="218" t="n"/>
      <c r="AA2" s="218" t="n"/>
      <c r="AB2" s="218" t="n"/>
      <c r="AC2" s="218" t="n"/>
      <c r="AD2" s="218" t="n"/>
      <c r="AE2" s="218" t="n"/>
      <c r="AF2" s="218" t="n"/>
      <c r="AG2" s="218" t="n"/>
      <c r="AH2" s="218" t="n"/>
      <c r="AI2" s="218" t="n"/>
      <c r="AJ2" s="218" t="n"/>
      <c r="AK2" s="218" t="n"/>
      <c r="AL2" s="218" t="n"/>
      <c r="AM2" s="218" t="n"/>
      <c r="AN2" s="218" t="n"/>
      <c r="AO2" s="218" t="n"/>
      <c r="AP2" s="218" t="n"/>
      <c r="AQ2" s="218" t="n"/>
      <c r="AR2" s="218" t="n"/>
      <c r="AS2" s="218" t="n"/>
      <c r="AT2" s="218" t="n"/>
      <c r="AU2" s="218" t="n"/>
      <c r="AV2" s="219" t="n"/>
    </row>
    <row r="3" ht="55" customHeight="1">
      <c r="A3" s="154" t="inlineStr">
        <is>
          <t>METHOD: this sandbox has no Excel/LibreOffice install, so Excel's native what-if Data Table feature (TABLE() array formula) cannot be relied on here -- it only populates via a real spreadsheet engine's specific iterative recalculation, which the pure-Python `formulas` library used by recalc_and_cache.py does not implement; a native Data Table would show blank/stale cells in every headless read. Instead, BOTH Step 1 and Step 2 below are built as explicit, self-contained SHADOW formulas that replicate the FY2027 AOP's own formula chain using ordinary SUM/product/quotient formulas only (no TABLE() array formula, no what-if construct) -- fully real, inspectable, and independently recalculable, in this sandbox AND in real Excel if this file is later opened there.</t>
        </is>
      </c>
      <c r="B3" s="218" t="n"/>
      <c r="C3" s="218" t="n"/>
      <c r="D3" s="218" t="n"/>
      <c r="E3" s="218" t="n"/>
      <c r="F3" s="218" t="n"/>
      <c r="G3" s="218" t="n"/>
      <c r="H3" s="218" t="n"/>
      <c r="I3" s="218" t="n"/>
      <c r="J3" s="218" t="n"/>
      <c r="K3" s="218" t="n"/>
      <c r="L3" s="218" t="n"/>
      <c r="M3" s="218" t="n"/>
      <c r="N3" s="218" t="n"/>
      <c r="O3" s="218" t="n"/>
      <c r="P3" s="218" t="n"/>
      <c r="Q3" s="218" t="n"/>
      <c r="R3" s="218" t="n"/>
      <c r="S3" s="218" t="n"/>
      <c r="T3" s="218" t="n"/>
      <c r="U3" s="218" t="n"/>
      <c r="V3" s="218" t="n"/>
      <c r="W3" s="218" t="n"/>
      <c r="X3" s="218" t="n"/>
      <c r="Y3" s="218" t="n"/>
      <c r="Z3" s="218" t="n"/>
      <c r="AA3" s="218" t="n"/>
      <c r="AB3" s="218" t="n"/>
      <c r="AC3" s="218" t="n"/>
      <c r="AD3" s="218" t="n"/>
      <c r="AE3" s="218" t="n"/>
      <c r="AF3" s="218" t="n"/>
      <c r="AG3" s="218" t="n"/>
      <c r="AH3" s="218" t="n"/>
      <c r="AI3" s="218" t="n"/>
      <c r="AJ3" s="218" t="n"/>
      <c r="AK3" s="218" t="n"/>
      <c r="AL3" s="218" t="n"/>
      <c r="AM3" s="218" t="n"/>
      <c r="AN3" s="218" t="n"/>
      <c r="AO3" s="218" t="n"/>
      <c r="AP3" s="218" t="n"/>
      <c r="AQ3" s="218" t="n"/>
      <c r="AR3" s="218" t="n"/>
      <c r="AS3" s="218" t="n"/>
      <c r="AT3" s="218" t="n"/>
      <c r="AU3" s="218" t="n"/>
      <c r="AV3" s="219" t="n"/>
    </row>
    <row r="4" ht="68" customHeight="1">
      <c r="A4" s="154" t="inlineStr">
        <is>
          <t>ISOLATION METHOD (Step 1): every scenario row holds all drivers at Drivers! column D (Base) EXCEPT ONE, which is manually offset by a single Swing Size input cell (row 49, default 1.0 percentage point) added or subtracted -- an explicit formula, never a hardcoded number. The FY2026 Exit Run-Rate anchors (IS! B107/B110/B113/B116/B119) and FY2026 Q4 beginning balances (BS! AC9/AC11/AC13/AC22) are pulled as FIXED live references (rows 11-22) -- they are upstream of the FY2027-specific driver application (built by the Q3 Reforecast vintage, Tasks 13-14) and are not touched by any of the 7 drivers tested here. "Gross Margin" is treated as ONE driver per the brief, applying the SAME swing to BOTH Products_GM_Active and Services_GM_Active simultaneously (the Drivers tab splits GM into two segments by design -- Task 11 -- so a single-driver swing must move both, or it silently narrows to only one segment's margin). IMPORTANT SCOPE LIMIT (verified by a toggle test, not assumed): unlike the BASE DRIVER VALUES block (rows 27-45, hard-locked to column D always), the FIXED REFERENCE anchors above are pulled from the LIVE IS/BS/CF tabs, so they reflect whatever scenario Drivers!B6 is CURRENTLY set to (Q1 Actual/Q1 Forecast Update/Q3 Reforecast all cascade off the Active column, per Tasks 12-14's own design) -- this tab's Step 1/Step 2 results are a pure "everything at Base" sensitivity ONLY when Drivers!B6 = "Base" (true for the delivered file, confirmed below). Re-deriving the full upstream Q1 Actual/Q1 FU/Q3 RF chain a second time in hardcoded-Base terms was judged out of scope for this task (the brief's own recommended approach asks to replicate "the relevant piece of the FY2027 AOP calculation chain," not the entire prior vintage history) -- flagged here, not silently glossed over. The Delta columns (AS:AV) stay a valid, internally consistent isolation of each driver's marginal effect regardless of Drivers!B6's position, since every one of the 15 rows below shares the same anchor.</t>
        </is>
      </c>
      <c r="B4" s="218" t="n"/>
      <c r="C4" s="218" t="n"/>
      <c r="D4" s="218" t="n"/>
      <c r="E4" s="218" t="n"/>
      <c r="F4" s="218" t="n"/>
      <c r="G4" s="218" t="n"/>
      <c r="H4" s="218" t="n"/>
      <c r="I4" s="218" t="n"/>
      <c r="J4" s="218" t="n"/>
      <c r="K4" s="218" t="n"/>
      <c r="L4" s="218" t="n"/>
      <c r="M4" s="218" t="n"/>
      <c r="N4" s="218" t="n"/>
      <c r="O4" s="218" t="n"/>
      <c r="P4" s="218" t="n"/>
      <c r="Q4" s="218" t="n"/>
      <c r="R4" s="218" t="n"/>
      <c r="S4" s="218" t="n"/>
      <c r="T4" s="218" t="n"/>
      <c r="U4" s="218" t="n"/>
      <c r="V4" s="218" t="n"/>
      <c r="W4" s="218" t="n"/>
      <c r="X4" s="218" t="n"/>
      <c r="Y4" s="218" t="n"/>
      <c r="Z4" s="218" t="n"/>
      <c r="AA4" s="218" t="n"/>
      <c r="AB4" s="218" t="n"/>
      <c r="AC4" s="218" t="n"/>
      <c r="AD4" s="218" t="n"/>
      <c r="AE4" s="218" t="n"/>
      <c r="AF4" s="218" t="n"/>
      <c r="AG4" s="218" t="n"/>
      <c r="AH4" s="218" t="n"/>
      <c r="AI4" s="218" t="n"/>
      <c r="AJ4" s="218" t="n"/>
      <c r="AK4" s="218" t="n"/>
      <c r="AL4" s="218" t="n"/>
      <c r="AM4" s="218" t="n"/>
      <c r="AN4" s="218" t="n"/>
      <c r="AO4" s="218" t="n"/>
      <c r="AP4" s="218" t="n"/>
      <c r="AQ4" s="218" t="n"/>
      <c r="AR4" s="218" t="n"/>
      <c r="AS4" s="218" t="n"/>
      <c r="AT4" s="218" t="n"/>
      <c r="AU4" s="218" t="n"/>
      <c r="AV4" s="219" t="n"/>
    </row>
    <row r="5" ht="55" customHeight="1">
      <c r="A5" s="154" t="inlineStr">
        <is>
          <t>STRUCTURAL FINDING (verified, not hidden): this model's IS tab (Task 12) holds diluted share count FLAT for every forecast vintage (buyback-driven share reduction is explicitly out of the IS tab's scope, per its own row-3 note) -- so a Buyback % swing has ZERO effect on Operating Income/EPS below (it only moves Cash, via the CF tab's Financing section). Likewise Tax Rate is applied strictly below the Operating Income line, so a Tax Rate swing has ZERO OI impact but DOES move EPS/Cash/FCF. Both $0.00 results in the table below are real, mechanically correct formula outputs of the existing model -- not omissions or errors on this tab.</t>
        </is>
      </c>
      <c r="B5" s="218" t="n"/>
      <c r="C5" s="218" t="n"/>
      <c r="D5" s="218" t="n"/>
      <c r="E5" s="218" t="n"/>
      <c r="F5" s="218" t="n"/>
      <c r="G5" s="218" t="n"/>
      <c r="H5" s="218" t="n"/>
      <c r="I5" s="218" t="n"/>
      <c r="J5" s="218" t="n"/>
      <c r="K5" s="218" t="n"/>
      <c r="L5" s="218" t="n"/>
      <c r="M5" s="218" t="n"/>
      <c r="N5" s="218" t="n"/>
      <c r="O5" s="218" t="n"/>
      <c r="P5" s="218" t="n"/>
      <c r="Q5" s="218" t="n"/>
      <c r="R5" s="218" t="n"/>
      <c r="S5" s="218" t="n"/>
      <c r="T5" s="218" t="n"/>
      <c r="U5" s="218" t="n"/>
      <c r="V5" s="218" t="n"/>
      <c r="W5" s="218" t="n"/>
      <c r="X5" s="218" t="n"/>
      <c r="Y5" s="218" t="n"/>
      <c r="Z5" s="218" t="n"/>
      <c r="AA5" s="218" t="n"/>
      <c r="AB5" s="218" t="n"/>
      <c r="AC5" s="218" t="n"/>
      <c r="AD5" s="218" t="n"/>
      <c r="AE5" s="218" t="n"/>
      <c r="AF5" s="218" t="n"/>
      <c r="AG5" s="218" t="n"/>
      <c r="AH5" s="218" t="n"/>
      <c r="AI5" s="218" t="n"/>
      <c r="AJ5" s="218" t="n"/>
      <c r="AK5" s="218" t="n"/>
      <c r="AL5" s="218" t="n"/>
      <c r="AM5" s="218" t="n"/>
      <c r="AN5" s="218" t="n"/>
      <c r="AO5" s="218" t="n"/>
      <c r="AP5" s="218" t="n"/>
      <c r="AQ5" s="218" t="n"/>
      <c r="AR5" s="218" t="n"/>
      <c r="AS5" s="218" t="n"/>
      <c r="AT5" s="218" t="n"/>
      <c r="AU5" s="218" t="n"/>
      <c r="AV5" s="219" t="n"/>
    </row>
    <row r="6" ht="55" customHeight="1">
      <c r="A6" s="181" t="inlineStr">
        <is>
          <t>SIMPLIFICATIONS (Step 2 -- see also the Step 2 section notes below): "Revenue growth %" is a SINGLE blended axis (Total FY2027 Net Sales = FY2026 Exit-Run-Rate anchor total x (1+g)), not a re-decomposition into 5 segment growth rates -- the standard simpler convention for a 2-variable data table, distinct from Step 1's per-driver isolation. Products:Services revenue MIX is held at Base proportions across the whole growth axis. "Gross Margin %" is a column OFFSET applied equally to both Products and Services GM% (same convention as Step 1's Gross Margin driver). R&amp;D%/SG&amp;A%/Tax Rate/Share count are held at Base throughout Step 2's grid (not axes of that table).</t>
        </is>
      </c>
      <c r="B6" s="218" t="n"/>
      <c r="C6" s="218" t="n"/>
      <c r="D6" s="218" t="n"/>
      <c r="E6" s="218" t="n"/>
      <c r="F6" s="218" t="n"/>
      <c r="G6" s="218" t="n"/>
      <c r="H6" s="218" t="n"/>
      <c r="I6" s="218" t="n"/>
      <c r="J6" s="218" t="n"/>
      <c r="K6" s="218" t="n"/>
      <c r="L6" s="218" t="n"/>
      <c r="M6" s="218" t="n"/>
      <c r="N6" s="218" t="n"/>
      <c r="O6" s="218" t="n"/>
      <c r="P6" s="218" t="n"/>
      <c r="Q6" s="218" t="n"/>
      <c r="R6" s="218" t="n"/>
      <c r="S6" s="218" t="n"/>
      <c r="T6" s="218" t="n"/>
      <c r="U6" s="218" t="n"/>
      <c r="V6" s="218" t="n"/>
      <c r="W6" s="218" t="n"/>
      <c r="X6" s="218" t="n"/>
      <c r="Y6" s="218" t="n"/>
      <c r="Z6" s="218" t="n"/>
      <c r="AA6" s="218" t="n"/>
      <c r="AB6" s="218" t="n"/>
      <c r="AC6" s="218" t="n"/>
      <c r="AD6" s="218" t="n"/>
      <c r="AE6" s="218" t="n"/>
      <c r="AF6" s="218" t="n"/>
      <c r="AG6" s="218" t="n"/>
      <c r="AH6" s="218" t="n"/>
      <c r="AI6" s="218" t="n"/>
      <c r="AJ6" s="218" t="n"/>
      <c r="AK6" s="218" t="n"/>
      <c r="AL6" s="218" t="n"/>
      <c r="AM6" s="218" t="n"/>
      <c r="AN6" s="218" t="n"/>
      <c r="AO6" s="218" t="n"/>
      <c r="AP6" s="218" t="n"/>
      <c r="AQ6" s="218" t="n"/>
      <c r="AR6" s="218" t="n"/>
      <c r="AS6" s="218" t="n"/>
      <c r="AT6" s="218" t="n"/>
      <c r="AU6" s="218" t="n"/>
      <c r="AV6" s="219" t="n"/>
    </row>
    <row r="7">
      <c r="A7" s="129" t="n"/>
      <c r="B7" s="129" t="n"/>
      <c r="C7" s="129" t="n"/>
      <c r="D7" s="129" t="n"/>
      <c r="E7" s="129" t="n"/>
      <c r="F7" s="129" t="n"/>
      <c r="G7" s="129" t="n"/>
      <c r="H7" s="129" t="n"/>
      <c r="I7" s="129" t="n"/>
      <c r="J7" s="129" t="n"/>
      <c r="K7" s="129" t="n"/>
      <c r="L7" s="129" t="n"/>
      <c r="M7" s="129" t="n"/>
      <c r="N7" s="129" t="n"/>
      <c r="O7" s="129" t="n"/>
      <c r="P7" s="129" t="n"/>
      <c r="Q7" s="129" t="n"/>
      <c r="R7" s="129" t="n"/>
      <c r="S7" s="129" t="n"/>
      <c r="T7" s="129" t="n"/>
      <c r="U7" s="129" t="n"/>
      <c r="V7" s="129" t="n"/>
      <c r="W7" s="129" t="n"/>
      <c r="X7" s="129" t="n"/>
      <c r="Y7" s="129" t="n"/>
      <c r="Z7" s="129" t="n"/>
      <c r="AA7" s="129" t="n"/>
      <c r="AB7" s="129" t="n"/>
      <c r="AC7" s="129" t="n"/>
      <c r="AD7" s="129" t="n"/>
      <c r="AE7" s="129" t="n"/>
      <c r="AF7" s="129" t="n"/>
      <c r="AG7" s="129" t="n"/>
      <c r="AH7" s="129" t="n"/>
      <c r="AI7" s="129" t="n"/>
      <c r="AJ7" s="129" t="n"/>
      <c r="AK7" s="129" t="n"/>
      <c r="AL7" s="129" t="n"/>
      <c r="AM7" s="129" t="n"/>
      <c r="AN7" s="129" t="n"/>
      <c r="AO7" s="129" t="n"/>
      <c r="AP7" s="129" t="n"/>
      <c r="AQ7" s="129" t="n"/>
      <c r="AR7" s="129" t="n"/>
      <c r="AS7" s="129" t="n"/>
      <c r="AT7" s="129" t="n"/>
      <c r="AU7" s="129" t="n"/>
      <c r="AV7" s="129" t="n"/>
    </row>
    <row r="8">
      <c r="A8" s="138" t="inlineStr">
        <is>
          <t>FIXED REFERENCE VALUES -- live formula links to IS/BS/CF; upstream of the FY2027-specific driver application; NOT altered or swung by this tab</t>
        </is>
      </c>
      <c r="B8" s="218" t="n"/>
      <c r="C8" s="218" t="n"/>
      <c r="D8" s="218" t="n"/>
      <c r="E8" s="218" t="n"/>
      <c r="F8" s="218" t="n"/>
      <c r="G8" s="218" t="n"/>
      <c r="H8" s="218" t="n"/>
      <c r="I8" s="218" t="n"/>
      <c r="J8" s="218" t="n"/>
      <c r="K8" s="218" t="n"/>
      <c r="L8" s="218" t="n"/>
      <c r="M8" s="218" t="n"/>
      <c r="N8" s="218" t="n"/>
      <c r="O8" s="218" t="n"/>
      <c r="P8" s="218" t="n"/>
      <c r="Q8" s="218" t="n"/>
      <c r="R8" s="218" t="n"/>
      <c r="S8" s="218" t="n"/>
      <c r="T8" s="218" t="n"/>
      <c r="U8" s="218" t="n"/>
      <c r="V8" s="218" t="n"/>
      <c r="W8" s="218" t="n"/>
      <c r="X8" s="218" t="n"/>
      <c r="Y8" s="218" t="n"/>
      <c r="Z8" s="218" t="n"/>
      <c r="AA8" s="218" t="n"/>
      <c r="AB8" s="218" t="n"/>
      <c r="AC8" s="218" t="n"/>
      <c r="AD8" s="218" t="n"/>
      <c r="AE8" s="218" t="n"/>
      <c r="AF8" s="218" t="n"/>
      <c r="AG8" s="218" t="n"/>
      <c r="AH8" s="218" t="n"/>
      <c r="AI8" s="218" t="n"/>
      <c r="AJ8" s="218" t="n"/>
      <c r="AK8" s="218" t="n"/>
      <c r="AL8" s="218" t="n"/>
      <c r="AM8" s="218" t="n"/>
      <c r="AN8" s="218" t="n"/>
      <c r="AO8" s="218" t="n"/>
      <c r="AP8" s="218" t="n"/>
      <c r="AQ8" s="218" t="n"/>
      <c r="AR8" s="218" t="n"/>
      <c r="AS8" s="218" t="n"/>
      <c r="AT8" s="218" t="n"/>
      <c r="AU8" s="218" t="n"/>
      <c r="AV8" s="219" t="n"/>
    </row>
    <row r="9" ht="28" customHeight="1">
      <c r="A9" s="154" t="inlineStr">
        <is>
          <t>These come from the Q3 Reforecast vintage (Tasks 13-14), already baked into the live model before any FY2027-specific driver is applied -- none of the 7 sensitivity drivers tested below can affect them, so they are safe to hold fixed while isolating each driver's FY2027-specific effect.</t>
        </is>
      </c>
      <c r="B9" s="218" t="n"/>
      <c r="C9" s="218" t="n"/>
      <c r="D9" s="218" t="n"/>
      <c r="E9" s="218" t="n"/>
      <c r="F9" s="218" t="n"/>
      <c r="G9" s="218" t="n"/>
      <c r="H9" s="218" t="n"/>
      <c r="I9" s="218" t="n"/>
      <c r="J9" s="218" t="n"/>
      <c r="K9" s="218" t="n"/>
      <c r="L9" s="218" t="n"/>
      <c r="M9" s="218" t="n"/>
      <c r="N9" s="218" t="n"/>
      <c r="O9" s="218" t="n"/>
      <c r="P9" s="218" t="n"/>
      <c r="Q9" s="218" t="n"/>
      <c r="R9" s="218" t="n"/>
      <c r="S9" s="218" t="n"/>
      <c r="T9" s="218" t="n"/>
      <c r="U9" s="218" t="n"/>
      <c r="V9" s="218" t="n"/>
      <c r="W9" s="218" t="n"/>
      <c r="X9" s="218" t="n"/>
      <c r="Y9" s="218" t="n"/>
      <c r="Z9" s="218" t="n"/>
      <c r="AA9" s="218" t="n"/>
      <c r="AB9" s="218" t="n"/>
      <c r="AC9" s="218" t="n"/>
      <c r="AD9" s="218" t="n"/>
      <c r="AE9" s="218" t="n"/>
      <c r="AF9" s="218" t="n"/>
      <c r="AG9" s="218" t="n"/>
      <c r="AH9" s="218" t="n"/>
      <c r="AI9" s="218" t="n"/>
      <c r="AJ9" s="218" t="n"/>
      <c r="AK9" s="218" t="n"/>
      <c r="AL9" s="218" t="n"/>
      <c r="AM9" s="218" t="n"/>
      <c r="AN9" s="218" t="n"/>
      <c r="AO9" s="218" t="n"/>
      <c r="AP9" s="218" t="n"/>
      <c r="AQ9" s="218" t="n"/>
      <c r="AR9" s="218" t="n"/>
      <c r="AS9" s="218" t="n"/>
      <c r="AT9" s="218" t="n"/>
      <c r="AU9" s="218" t="n"/>
      <c r="AV9" s="219" t="n"/>
    </row>
    <row r="10">
      <c r="A10" s="182" t="inlineStr">
        <is>
          <t>Item</t>
        </is>
      </c>
      <c r="B10" s="182" t="inlineStr">
        <is>
          <t>Source Cell</t>
        </is>
      </c>
      <c r="C10" s="182" t="inlineStr">
        <is>
          <t>Value</t>
        </is>
      </c>
      <c r="D10" s="129" t="n"/>
      <c r="E10" s="129" t="n"/>
      <c r="F10" s="129" t="n"/>
      <c r="G10" s="129" t="n"/>
      <c r="H10" s="129" t="n"/>
      <c r="I10" s="129" t="n"/>
      <c r="J10" s="129" t="n"/>
      <c r="K10" s="129" t="n"/>
      <c r="L10" s="129" t="n"/>
      <c r="M10" s="129" t="n"/>
      <c r="N10" s="129" t="n"/>
      <c r="O10" s="129" t="n"/>
      <c r="P10" s="129" t="n"/>
      <c r="Q10" s="129" t="n"/>
      <c r="R10" s="129" t="n"/>
      <c r="S10" s="129" t="n"/>
      <c r="T10" s="129" t="n"/>
      <c r="U10" s="129" t="n"/>
      <c r="V10" s="129" t="n"/>
      <c r="W10" s="129" t="n"/>
      <c r="X10" s="129" t="n"/>
      <c r="Y10" s="129" t="n"/>
      <c r="Z10" s="129" t="n"/>
      <c r="AA10" s="129" t="n"/>
      <c r="AB10" s="129" t="n"/>
      <c r="AC10" s="129" t="n"/>
      <c r="AD10" s="129" t="n"/>
      <c r="AE10" s="129" t="n"/>
      <c r="AF10" s="129" t="n"/>
      <c r="AG10" s="129" t="n"/>
      <c r="AH10" s="129" t="n"/>
      <c r="AI10" s="129" t="n"/>
      <c r="AJ10" s="129" t="n"/>
      <c r="AK10" s="129" t="n"/>
      <c r="AL10" s="129" t="n"/>
      <c r="AM10" s="129" t="n"/>
      <c r="AN10" s="129" t="n"/>
      <c r="AO10" s="129" t="n"/>
      <c r="AP10" s="129" t="n"/>
      <c r="AQ10" s="129" t="n"/>
      <c r="AR10" s="129" t="n"/>
      <c r="AS10" s="129" t="n"/>
      <c r="AT10" s="129" t="n"/>
      <c r="AU10" s="129" t="n"/>
      <c r="AV10" s="129" t="n"/>
    </row>
    <row r="11">
      <c r="A11" s="127" t="inlineStr">
        <is>
          <t>iPhone: FY2026 Exit Run-Rate Annualized Revenue ($M)</t>
        </is>
      </c>
      <c r="B11" s="169" t="inlineStr">
        <is>
          <t>IS!B107</t>
        </is>
      </c>
      <c r="C11" s="146">
        <f>IS!B107</f>
        <v>225771.804526854</v>
      </c>
      <c r="D11" s="129" t="n"/>
      <c r="E11" s="129" t="n"/>
      <c r="F11" s="129" t="n"/>
      <c r="G11" s="129" t="n"/>
      <c r="H11" s="129" t="n"/>
      <c r="I11" s="129" t="n"/>
      <c r="J11" s="129" t="n"/>
      <c r="K11" s="129" t="n"/>
      <c r="L11" s="129" t="n"/>
      <c r="M11" s="129" t="n"/>
      <c r="N11" s="129" t="n"/>
      <c r="O11" s="129" t="n"/>
      <c r="P11" s="129" t="n"/>
      <c r="Q11" s="129" t="n"/>
      <c r="R11" s="129" t="n"/>
      <c r="S11" s="129" t="n"/>
      <c r="T11" s="129" t="n"/>
      <c r="U11" s="129" t="n"/>
      <c r="V11" s="129" t="n"/>
      <c r="W11" s="129" t="n"/>
      <c r="X11" s="129" t="n"/>
      <c r="Y11" s="129" t="n"/>
      <c r="Z11" s="129" t="n"/>
      <c r="AA11" s="129" t="n"/>
      <c r="AB11" s="129" t="n"/>
      <c r="AC11" s="129" t="n"/>
      <c r="AD11" s="129" t="n"/>
      <c r="AE11" s="129" t="n"/>
      <c r="AF11" s="129" t="n"/>
      <c r="AG11" s="129" t="n"/>
      <c r="AH11" s="129" t="n"/>
      <c r="AI11" s="129" t="n"/>
      <c r="AJ11" s="129" t="n"/>
      <c r="AK11" s="129" t="n"/>
      <c r="AL11" s="129" t="n"/>
      <c r="AM11" s="129" t="n"/>
      <c r="AN11" s="129" t="n"/>
      <c r="AO11" s="129" t="n"/>
      <c r="AP11" s="129" t="n"/>
      <c r="AQ11" s="129" t="n"/>
      <c r="AR11" s="129" t="n"/>
      <c r="AS11" s="129" t="n"/>
      <c r="AT11" s="129" t="n"/>
      <c r="AU11" s="129" t="n"/>
      <c r="AV11" s="129" t="n"/>
    </row>
    <row r="12">
      <c r="A12" s="127" t="inlineStr">
        <is>
          <t>Mac: FY2026 Exit Run-Rate Annualized Revenue ($M)</t>
        </is>
      </c>
      <c r="B12" s="169" t="inlineStr">
        <is>
          <t>IS!B110</t>
        </is>
      </c>
      <c r="C12" s="146">
        <f>IS!B110</f>
        <v>37205.5490040716</v>
      </c>
      <c r="D12" s="129" t="n"/>
      <c r="E12" s="129" t="n"/>
      <c r="F12" s="129" t="n"/>
      <c r="G12" s="129" t="n"/>
      <c r="H12" s="129" t="n"/>
      <c r="I12" s="129" t="n"/>
      <c r="J12" s="129" t="n"/>
      <c r="K12" s="129" t="n"/>
      <c r="L12" s="129" t="n"/>
      <c r="M12" s="129" t="n"/>
      <c r="N12" s="129" t="n"/>
      <c r="O12" s="129" t="n"/>
      <c r="P12" s="129" t="n"/>
      <c r="Q12" s="129" t="n"/>
      <c r="R12" s="129" t="n"/>
      <c r="S12" s="129" t="n"/>
      <c r="T12" s="129" t="n"/>
      <c r="U12" s="129" t="n"/>
      <c r="V12" s="129" t="n"/>
      <c r="W12" s="129" t="n"/>
      <c r="X12" s="129" t="n"/>
      <c r="Y12" s="129" t="n"/>
      <c r="Z12" s="129" t="n"/>
      <c r="AA12" s="129" t="n"/>
      <c r="AB12" s="129" t="n"/>
      <c r="AC12" s="129" t="n"/>
      <c r="AD12" s="129" t="n"/>
      <c r="AE12" s="129" t="n"/>
      <c r="AF12" s="129" t="n"/>
      <c r="AG12" s="129" t="n"/>
      <c r="AH12" s="129" t="n"/>
      <c r="AI12" s="129" t="n"/>
      <c r="AJ12" s="129" t="n"/>
      <c r="AK12" s="129" t="n"/>
      <c r="AL12" s="129" t="n"/>
      <c r="AM12" s="129" t="n"/>
      <c r="AN12" s="129" t="n"/>
      <c r="AO12" s="129" t="n"/>
      <c r="AP12" s="129" t="n"/>
      <c r="AQ12" s="129" t="n"/>
      <c r="AR12" s="129" t="n"/>
      <c r="AS12" s="129" t="n"/>
      <c r="AT12" s="129" t="n"/>
      <c r="AU12" s="129" t="n"/>
      <c r="AV12" s="129" t="n"/>
    </row>
    <row r="13">
      <c r="A13" s="127" t="inlineStr">
        <is>
          <t>iPad: FY2026 Exit Run-Rate Annualized Revenue ($M)</t>
        </is>
      </c>
      <c r="B13" s="169" t="inlineStr">
        <is>
          <t>IS!B113</t>
        </is>
      </c>
      <c r="C13" s="146">
        <f>IS!B113</f>
        <v>29891.1940450979</v>
      </c>
      <c r="D13" s="129" t="n"/>
      <c r="E13" s="129" t="n"/>
      <c r="F13" s="129" t="n"/>
      <c r="G13" s="129" t="n"/>
      <c r="H13" s="129" t="n"/>
      <c r="I13" s="129" t="n"/>
      <c r="J13" s="129" t="n"/>
      <c r="K13" s="129" t="n"/>
      <c r="L13" s="129" t="n"/>
      <c r="M13" s="129" t="n"/>
      <c r="N13" s="129" t="n"/>
      <c r="O13" s="129" t="n"/>
      <c r="P13" s="129" t="n"/>
      <c r="Q13" s="129" t="n"/>
      <c r="R13" s="129" t="n"/>
      <c r="S13" s="129" t="n"/>
      <c r="T13" s="129" t="n"/>
      <c r="U13" s="129" t="n"/>
      <c r="V13" s="129" t="n"/>
      <c r="W13" s="129" t="n"/>
      <c r="X13" s="129" t="n"/>
      <c r="Y13" s="129" t="n"/>
      <c r="Z13" s="129" t="n"/>
      <c r="AA13" s="129" t="n"/>
      <c r="AB13" s="129" t="n"/>
      <c r="AC13" s="129" t="n"/>
      <c r="AD13" s="129" t="n"/>
      <c r="AE13" s="129" t="n"/>
      <c r="AF13" s="129" t="n"/>
      <c r="AG13" s="129" t="n"/>
      <c r="AH13" s="129" t="n"/>
      <c r="AI13" s="129" t="n"/>
      <c r="AJ13" s="129" t="n"/>
      <c r="AK13" s="129" t="n"/>
      <c r="AL13" s="129" t="n"/>
      <c r="AM13" s="129" t="n"/>
      <c r="AN13" s="129" t="n"/>
      <c r="AO13" s="129" t="n"/>
      <c r="AP13" s="129" t="n"/>
      <c r="AQ13" s="129" t="n"/>
      <c r="AR13" s="129" t="n"/>
      <c r="AS13" s="129" t="n"/>
      <c r="AT13" s="129" t="n"/>
      <c r="AU13" s="129" t="n"/>
      <c r="AV13" s="129" t="n"/>
    </row>
    <row r="14">
      <c r="A14" s="127" t="inlineStr">
        <is>
          <t>Wearables: FY2026 Exit Run-Rate Annualized Revenue ($M)</t>
        </is>
      </c>
      <c r="B14" s="169" t="inlineStr">
        <is>
          <t>IS!B116</t>
        </is>
      </c>
      <c r="C14" s="146">
        <f>IS!B116</f>
        <v>37127.4960517629</v>
      </c>
      <c r="D14" s="129" t="n"/>
      <c r="E14" s="129" t="n"/>
      <c r="F14" s="129" t="n"/>
      <c r="G14" s="129" t="n"/>
      <c r="H14" s="129" t="n"/>
      <c r="I14" s="129" t="n"/>
      <c r="J14" s="129" t="n"/>
      <c r="K14" s="129" t="n"/>
      <c r="L14" s="129" t="n"/>
      <c r="M14" s="129" t="n"/>
      <c r="N14" s="129" t="n"/>
      <c r="O14" s="129" t="n"/>
      <c r="P14" s="129" t="n"/>
      <c r="Q14" s="129" t="n"/>
      <c r="R14" s="129" t="n"/>
      <c r="S14" s="129" t="n"/>
      <c r="T14" s="129" t="n"/>
      <c r="U14" s="129" t="n"/>
      <c r="V14" s="129" t="n"/>
      <c r="W14" s="129" t="n"/>
      <c r="X14" s="129" t="n"/>
      <c r="Y14" s="129" t="n"/>
      <c r="Z14" s="129" t="n"/>
      <c r="AA14" s="129" t="n"/>
      <c r="AB14" s="129" t="n"/>
      <c r="AC14" s="129" t="n"/>
      <c r="AD14" s="129" t="n"/>
      <c r="AE14" s="129" t="n"/>
      <c r="AF14" s="129" t="n"/>
      <c r="AG14" s="129" t="n"/>
      <c r="AH14" s="129" t="n"/>
      <c r="AI14" s="129" t="n"/>
      <c r="AJ14" s="129" t="n"/>
      <c r="AK14" s="129" t="n"/>
      <c r="AL14" s="129" t="n"/>
      <c r="AM14" s="129" t="n"/>
      <c r="AN14" s="129" t="n"/>
      <c r="AO14" s="129" t="n"/>
      <c r="AP14" s="129" t="n"/>
      <c r="AQ14" s="129" t="n"/>
      <c r="AR14" s="129" t="n"/>
      <c r="AS14" s="129" t="n"/>
      <c r="AT14" s="129" t="n"/>
      <c r="AU14" s="129" t="n"/>
      <c r="AV14" s="129" t="n"/>
    </row>
    <row r="15">
      <c r="A15" s="127" t="inlineStr">
        <is>
          <t>Services: FY2026 Exit Run-Rate Annualized Revenue ($M)</t>
        </is>
      </c>
      <c r="B15" s="169" t="inlineStr">
        <is>
          <t>IS!B119</t>
        </is>
      </c>
      <c r="C15" s="146">
        <f>IS!B119</f>
        <v>128201.927344648</v>
      </c>
      <c r="D15" s="129" t="n"/>
      <c r="E15" s="129" t="n"/>
      <c r="F15" s="129" t="n"/>
      <c r="G15" s="129" t="n"/>
      <c r="H15" s="129" t="n"/>
      <c r="I15" s="129" t="n"/>
      <c r="J15" s="129" t="n"/>
      <c r="K15" s="129" t="n"/>
      <c r="L15" s="129" t="n"/>
      <c r="M15" s="129" t="n"/>
      <c r="N15" s="129" t="n"/>
      <c r="O15" s="129" t="n"/>
      <c r="P15" s="129" t="n"/>
      <c r="Q15" s="129" t="n"/>
      <c r="R15" s="129" t="n"/>
      <c r="S15" s="129" t="n"/>
      <c r="T15" s="129" t="n"/>
      <c r="U15" s="129" t="n"/>
      <c r="V15" s="129" t="n"/>
      <c r="W15" s="129" t="n"/>
      <c r="X15" s="129" t="n"/>
      <c r="Y15" s="129" t="n"/>
      <c r="Z15" s="129" t="n"/>
      <c r="AA15" s="129" t="n"/>
      <c r="AB15" s="129" t="n"/>
      <c r="AC15" s="129" t="n"/>
      <c r="AD15" s="129" t="n"/>
      <c r="AE15" s="129" t="n"/>
      <c r="AF15" s="129" t="n"/>
      <c r="AG15" s="129" t="n"/>
      <c r="AH15" s="129" t="n"/>
      <c r="AI15" s="129" t="n"/>
      <c r="AJ15" s="129" t="n"/>
      <c r="AK15" s="129" t="n"/>
      <c r="AL15" s="129" t="n"/>
      <c r="AM15" s="129" t="n"/>
      <c r="AN15" s="129" t="n"/>
      <c r="AO15" s="129" t="n"/>
      <c r="AP15" s="129" t="n"/>
      <c r="AQ15" s="129" t="n"/>
      <c r="AR15" s="129" t="n"/>
      <c r="AS15" s="129" t="n"/>
      <c r="AT15" s="129" t="n"/>
      <c r="AU15" s="129" t="n"/>
      <c r="AV15" s="129" t="n"/>
    </row>
    <row r="16">
      <c r="A16" s="127" t="inlineStr">
        <is>
          <t>Q4 Seasonality Weight (applied to every FY2027 AOP quarterly split)</t>
        </is>
      </c>
      <c r="B16" s="169" t="inlineStr">
        <is>
          <t>IS!E12</t>
        </is>
      </c>
      <c r="C16" s="142">
        <f>IS!E12</f>
        <v>0.244491601009517</v>
      </c>
      <c r="D16" s="129" t="n"/>
      <c r="E16" s="129" t="n"/>
      <c r="F16" s="129" t="n"/>
      <c r="G16" s="129" t="n"/>
      <c r="H16" s="129" t="n"/>
      <c r="I16" s="129" t="n"/>
      <c r="J16" s="129" t="n"/>
      <c r="K16" s="129" t="n"/>
      <c r="L16" s="129" t="n"/>
      <c r="M16" s="129" t="n"/>
      <c r="N16" s="129" t="n"/>
      <c r="O16" s="129" t="n"/>
      <c r="P16" s="129" t="n"/>
      <c r="Q16" s="129" t="n"/>
      <c r="R16" s="129" t="n"/>
      <c r="S16" s="129" t="n"/>
      <c r="T16" s="129" t="n"/>
      <c r="U16" s="129" t="n"/>
      <c r="V16" s="129" t="n"/>
      <c r="W16" s="129" t="n"/>
      <c r="X16" s="129" t="n"/>
      <c r="Y16" s="129" t="n"/>
      <c r="Z16" s="129" t="n"/>
      <c r="AA16" s="129" t="n"/>
      <c r="AB16" s="129" t="n"/>
      <c r="AC16" s="129" t="n"/>
      <c r="AD16" s="129" t="n"/>
      <c r="AE16" s="129" t="n"/>
      <c r="AF16" s="129" t="n"/>
      <c r="AG16" s="129" t="n"/>
      <c r="AH16" s="129" t="n"/>
      <c r="AI16" s="129" t="n"/>
      <c r="AJ16" s="129" t="n"/>
      <c r="AK16" s="129" t="n"/>
      <c r="AL16" s="129" t="n"/>
      <c r="AM16" s="129" t="n"/>
      <c r="AN16" s="129" t="n"/>
      <c r="AO16" s="129" t="n"/>
      <c r="AP16" s="129" t="n"/>
      <c r="AQ16" s="129" t="n"/>
      <c r="AR16" s="129" t="n"/>
      <c r="AS16" s="129" t="n"/>
      <c r="AT16" s="129" t="n"/>
      <c r="AU16" s="129" t="n"/>
      <c r="AV16" s="129" t="n"/>
    </row>
    <row r="17">
      <c r="A17" s="127" t="inlineStr">
        <is>
          <t>Diluted Shares Outstanding, held flat (M)</t>
        </is>
      </c>
      <c r="B17" s="169" t="inlineStr">
        <is>
          <t>IS!K56</t>
        </is>
      </c>
      <c r="C17" s="167">
        <f>IS!K56</f>
        <v>14715.4228855721</v>
      </c>
      <c r="D17" s="129" t="n"/>
      <c r="E17" s="129" t="n"/>
      <c r="F17" s="129" t="n"/>
      <c r="G17" s="129" t="n"/>
      <c r="H17" s="129" t="n"/>
      <c r="I17" s="129" t="n"/>
      <c r="J17" s="129" t="n"/>
      <c r="K17" s="129" t="n"/>
      <c r="L17" s="129" t="n"/>
      <c r="M17" s="129" t="n"/>
      <c r="N17" s="129" t="n"/>
      <c r="O17" s="129" t="n"/>
      <c r="P17" s="129" t="n"/>
      <c r="Q17" s="129" t="n"/>
      <c r="R17" s="129" t="n"/>
      <c r="S17" s="129" t="n"/>
      <c r="T17" s="129" t="n"/>
      <c r="U17" s="129" t="n"/>
      <c r="V17" s="129" t="n"/>
      <c r="W17" s="129" t="n"/>
      <c r="X17" s="129" t="n"/>
      <c r="Y17" s="129" t="n"/>
      <c r="Z17" s="129" t="n"/>
      <c r="AA17" s="129" t="n"/>
      <c r="AB17" s="129" t="n"/>
      <c r="AC17" s="129" t="n"/>
      <c r="AD17" s="129" t="n"/>
      <c r="AE17" s="129" t="n"/>
      <c r="AF17" s="129" t="n"/>
      <c r="AG17" s="129" t="n"/>
      <c r="AH17" s="129" t="n"/>
      <c r="AI17" s="129" t="n"/>
      <c r="AJ17" s="129" t="n"/>
      <c r="AK17" s="129" t="n"/>
      <c r="AL17" s="129" t="n"/>
      <c r="AM17" s="129" t="n"/>
      <c r="AN17" s="129" t="n"/>
      <c r="AO17" s="129" t="n"/>
      <c r="AP17" s="129" t="n"/>
      <c r="AQ17" s="129" t="n"/>
      <c r="AR17" s="129" t="n"/>
      <c r="AS17" s="129" t="n"/>
      <c r="AT17" s="129" t="n"/>
      <c r="AU17" s="129" t="n"/>
      <c r="AV17" s="129" t="n"/>
    </row>
    <row r="18">
      <c r="A18" s="127" t="inlineStr">
        <is>
          <t>D&amp;A (% of Net Sales), flat assumption</t>
        </is>
      </c>
      <c r="B18" s="169" t="inlineStr">
        <is>
          <t>CF!C9</t>
        </is>
      </c>
      <c r="C18" s="142">
        <f>CF!C9</f>
        <v>0.029287294156514</v>
      </c>
      <c r="D18" s="129" t="n"/>
      <c r="E18" s="129" t="n"/>
      <c r="F18" s="129" t="n"/>
      <c r="G18" s="129" t="n"/>
      <c r="H18" s="129" t="n"/>
      <c r="I18" s="129" t="n"/>
      <c r="J18" s="129" t="n"/>
      <c r="K18" s="129" t="n"/>
      <c r="L18" s="129" t="n"/>
      <c r="M18" s="129" t="n"/>
      <c r="N18" s="129" t="n"/>
      <c r="O18" s="129" t="n"/>
      <c r="P18" s="129" t="n"/>
      <c r="Q18" s="129" t="n"/>
      <c r="R18" s="129" t="n"/>
      <c r="S18" s="129" t="n"/>
      <c r="T18" s="129" t="n"/>
      <c r="U18" s="129" t="n"/>
      <c r="V18" s="129" t="n"/>
      <c r="W18" s="129" t="n"/>
      <c r="X18" s="129" t="n"/>
      <c r="Y18" s="129" t="n"/>
      <c r="Z18" s="129" t="n"/>
      <c r="AA18" s="129" t="n"/>
      <c r="AB18" s="129" t="n"/>
      <c r="AC18" s="129" t="n"/>
      <c r="AD18" s="129" t="n"/>
      <c r="AE18" s="129" t="n"/>
      <c r="AF18" s="129" t="n"/>
      <c r="AG18" s="129" t="n"/>
      <c r="AH18" s="129" t="n"/>
      <c r="AI18" s="129" t="n"/>
      <c r="AJ18" s="129" t="n"/>
      <c r="AK18" s="129" t="n"/>
      <c r="AL18" s="129" t="n"/>
      <c r="AM18" s="129" t="n"/>
      <c r="AN18" s="129" t="n"/>
      <c r="AO18" s="129" t="n"/>
      <c r="AP18" s="129" t="n"/>
      <c r="AQ18" s="129" t="n"/>
      <c r="AR18" s="129" t="n"/>
      <c r="AS18" s="129" t="n"/>
      <c r="AT18" s="129" t="n"/>
      <c r="AU18" s="129" t="n"/>
      <c r="AV18" s="129" t="n"/>
    </row>
    <row r="19">
      <c r="A19" s="127" t="inlineStr">
        <is>
          <t>Cash, Beginning FY2027 (= Q4 FY2026 Q3 Reforecast ending cash) ($M)</t>
        </is>
      </c>
      <c r="B19" s="169" t="inlineStr">
        <is>
          <t>BS!AC9</t>
        </is>
      </c>
      <c r="C19" s="146">
        <f>BS!AC9</f>
        <v>29784.5481828373</v>
      </c>
      <c r="D19" s="129" t="n"/>
      <c r="E19" s="129" t="n"/>
      <c r="F19" s="129" t="n"/>
      <c r="G19" s="129" t="n"/>
      <c r="H19" s="129" t="n"/>
      <c r="I19" s="129" t="n"/>
      <c r="J19" s="129" t="n"/>
      <c r="K19" s="129" t="n"/>
      <c r="L19" s="129" t="n"/>
      <c r="M19" s="129" t="n"/>
      <c r="N19" s="129" t="n"/>
      <c r="O19" s="129" t="n"/>
      <c r="P19" s="129" t="n"/>
      <c r="Q19" s="129" t="n"/>
      <c r="R19" s="129" t="n"/>
      <c r="S19" s="129" t="n"/>
      <c r="T19" s="129" t="n"/>
      <c r="U19" s="129" t="n"/>
      <c r="V19" s="129" t="n"/>
      <c r="W19" s="129" t="n"/>
      <c r="X19" s="129" t="n"/>
      <c r="Y19" s="129" t="n"/>
      <c r="Z19" s="129" t="n"/>
      <c r="AA19" s="129" t="n"/>
      <c r="AB19" s="129" t="n"/>
      <c r="AC19" s="129" t="n"/>
      <c r="AD19" s="129" t="n"/>
      <c r="AE19" s="129" t="n"/>
      <c r="AF19" s="129" t="n"/>
      <c r="AG19" s="129" t="n"/>
      <c r="AH19" s="129" t="n"/>
      <c r="AI19" s="129" t="n"/>
      <c r="AJ19" s="129" t="n"/>
      <c r="AK19" s="129" t="n"/>
      <c r="AL19" s="129" t="n"/>
      <c r="AM19" s="129" t="n"/>
      <c r="AN19" s="129" t="n"/>
      <c r="AO19" s="129" t="n"/>
      <c r="AP19" s="129" t="n"/>
      <c r="AQ19" s="129" t="n"/>
      <c r="AR19" s="129" t="n"/>
      <c r="AS19" s="129" t="n"/>
      <c r="AT19" s="129" t="n"/>
      <c r="AU19" s="129" t="n"/>
      <c r="AV19" s="129" t="n"/>
    </row>
    <row r="20">
      <c r="A20" s="127" t="inlineStr">
        <is>
          <t>Accounts Receivable, Beginning FY2027 ($M)</t>
        </is>
      </c>
      <c r="B20" s="169" t="inlineStr">
        <is>
          <t>BS!AC11</t>
        </is>
      </c>
      <c r="C20" s="146">
        <f>BS!AC11</f>
        <v>41076.037017533</v>
      </c>
      <c r="D20" s="129" t="n"/>
      <c r="E20" s="129" t="n"/>
      <c r="F20" s="129" t="n"/>
      <c r="G20" s="129" t="n"/>
      <c r="H20" s="129" t="n"/>
      <c r="I20" s="129" t="n"/>
      <c r="J20" s="129" t="n"/>
      <c r="K20" s="129" t="n"/>
      <c r="L20" s="129" t="n"/>
      <c r="M20" s="129" t="n"/>
      <c r="N20" s="129" t="n"/>
      <c r="O20" s="129" t="n"/>
      <c r="P20" s="129" t="n"/>
      <c r="Q20" s="129" t="n"/>
      <c r="R20" s="129" t="n"/>
      <c r="S20" s="129" t="n"/>
      <c r="T20" s="129" t="n"/>
      <c r="U20" s="129" t="n"/>
      <c r="V20" s="129" t="n"/>
      <c r="W20" s="129" t="n"/>
      <c r="X20" s="129" t="n"/>
      <c r="Y20" s="129" t="n"/>
      <c r="Z20" s="129" t="n"/>
      <c r="AA20" s="129" t="n"/>
      <c r="AB20" s="129" t="n"/>
      <c r="AC20" s="129" t="n"/>
      <c r="AD20" s="129" t="n"/>
      <c r="AE20" s="129" t="n"/>
      <c r="AF20" s="129" t="n"/>
      <c r="AG20" s="129" t="n"/>
      <c r="AH20" s="129" t="n"/>
      <c r="AI20" s="129" t="n"/>
      <c r="AJ20" s="129" t="n"/>
      <c r="AK20" s="129" t="n"/>
      <c r="AL20" s="129" t="n"/>
      <c r="AM20" s="129" t="n"/>
      <c r="AN20" s="129" t="n"/>
      <c r="AO20" s="129" t="n"/>
      <c r="AP20" s="129" t="n"/>
      <c r="AQ20" s="129" t="n"/>
      <c r="AR20" s="129" t="n"/>
      <c r="AS20" s="129" t="n"/>
      <c r="AT20" s="129" t="n"/>
      <c r="AU20" s="129" t="n"/>
      <c r="AV20" s="129" t="n"/>
    </row>
    <row r="21">
      <c r="A21" s="127" t="inlineStr">
        <is>
          <t>Inventory, Beginning FY2027 ($M)</t>
        </is>
      </c>
      <c r="B21" s="169" t="inlineStr">
        <is>
          <t>BS!AC13</t>
        </is>
      </c>
      <c r="C21" s="146">
        <f>BS!AC13</f>
        <v>6314.43513754953</v>
      </c>
      <c r="D21" s="129" t="n"/>
      <c r="E21" s="129" t="n"/>
      <c r="F21" s="129" t="n"/>
      <c r="G21" s="129" t="n"/>
      <c r="H21" s="129" t="n"/>
      <c r="I21" s="129" t="n"/>
      <c r="J21" s="129" t="n"/>
      <c r="K21" s="129" t="n"/>
      <c r="L21" s="129" t="n"/>
      <c r="M21" s="129" t="n"/>
      <c r="N21" s="129" t="n"/>
      <c r="O21" s="129" t="n"/>
      <c r="P21" s="129" t="n"/>
      <c r="Q21" s="129" t="n"/>
      <c r="R21" s="129" t="n"/>
      <c r="S21" s="129" t="n"/>
      <c r="T21" s="129" t="n"/>
      <c r="U21" s="129" t="n"/>
      <c r="V21" s="129" t="n"/>
      <c r="W21" s="129" t="n"/>
      <c r="X21" s="129" t="n"/>
      <c r="Y21" s="129" t="n"/>
      <c r="Z21" s="129" t="n"/>
      <c r="AA21" s="129" t="n"/>
      <c r="AB21" s="129" t="n"/>
      <c r="AC21" s="129" t="n"/>
      <c r="AD21" s="129" t="n"/>
      <c r="AE21" s="129" t="n"/>
      <c r="AF21" s="129" t="n"/>
      <c r="AG21" s="129" t="n"/>
      <c r="AH21" s="129" t="n"/>
      <c r="AI21" s="129" t="n"/>
      <c r="AJ21" s="129" t="n"/>
      <c r="AK21" s="129" t="n"/>
      <c r="AL21" s="129" t="n"/>
      <c r="AM21" s="129" t="n"/>
      <c r="AN21" s="129" t="n"/>
      <c r="AO21" s="129" t="n"/>
      <c r="AP21" s="129" t="n"/>
      <c r="AQ21" s="129" t="n"/>
      <c r="AR21" s="129" t="n"/>
      <c r="AS21" s="129" t="n"/>
      <c r="AT21" s="129" t="n"/>
      <c r="AU21" s="129" t="n"/>
      <c r="AV21" s="129" t="n"/>
    </row>
    <row r="22">
      <c r="A22" s="127" t="inlineStr">
        <is>
          <t>Accounts Payable, Beginning FY2027 ($M)</t>
        </is>
      </c>
      <c r="B22" s="169" t="inlineStr">
        <is>
          <t>BS!AC22</t>
        </is>
      </c>
      <c r="C22" s="146">
        <f>BS!AC22</f>
        <v>72616.0040818196</v>
      </c>
      <c r="D22" s="129" t="n"/>
      <c r="E22" s="129" t="n"/>
      <c r="F22" s="129" t="n"/>
      <c r="G22" s="129" t="n"/>
      <c r="H22" s="129" t="n"/>
      <c r="I22" s="129" t="n"/>
      <c r="J22" s="129" t="n"/>
      <c r="K22" s="129" t="n"/>
      <c r="L22" s="129" t="n"/>
      <c r="M22" s="129" t="n"/>
      <c r="N22" s="129" t="n"/>
      <c r="O22" s="129" t="n"/>
      <c r="P22" s="129" t="n"/>
      <c r="Q22" s="129" t="n"/>
      <c r="R22" s="129" t="n"/>
      <c r="S22" s="129" t="n"/>
      <c r="T22" s="129" t="n"/>
      <c r="U22" s="129" t="n"/>
      <c r="V22" s="129" t="n"/>
      <c r="W22" s="129" t="n"/>
      <c r="X22" s="129" t="n"/>
      <c r="Y22" s="129" t="n"/>
      <c r="Z22" s="129" t="n"/>
      <c r="AA22" s="129" t="n"/>
      <c r="AB22" s="129" t="n"/>
      <c r="AC22" s="129" t="n"/>
      <c r="AD22" s="129" t="n"/>
      <c r="AE22" s="129" t="n"/>
      <c r="AF22" s="129" t="n"/>
      <c r="AG22" s="129" t="n"/>
      <c r="AH22" s="129" t="n"/>
      <c r="AI22" s="129" t="n"/>
      <c r="AJ22" s="129" t="n"/>
      <c r="AK22" s="129" t="n"/>
      <c r="AL22" s="129" t="n"/>
      <c r="AM22" s="129" t="n"/>
      <c r="AN22" s="129" t="n"/>
      <c r="AO22" s="129" t="n"/>
      <c r="AP22" s="129" t="n"/>
      <c r="AQ22" s="129" t="n"/>
      <c r="AR22" s="129" t="n"/>
      <c r="AS22" s="129" t="n"/>
      <c r="AT22" s="129" t="n"/>
      <c r="AU22" s="129" t="n"/>
      <c r="AV22" s="129" t="n"/>
    </row>
    <row r="23">
      <c r="A23" s="129" t="n"/>
      <c r="B23" s="129" t="n"/>
      <c r="C23" s="129" t="n"/>
      <c r="D23" s="129" t="n"/>
      <c r="E23" s="129" t="n"/>
      <c r="F23" s="129" t="n"/>
      <c r="G23" s="129" t="n"/>
      <c r="H23" s="129" t="n"/>
      <c r="I23" s="129" t="n"/>
      <c r="J23" s="129" t="n"/>
      <c r="K23" s="129" t="n"/>
      <c r="L23" s="129" t="n"/>
      <c r="M23" s="129" t="n"/>
      <c r="N23" s="129" t="n"/>
      <c r="O23" s="129" t="n"/>
      <c r="P23" s="129" t="n"/>
      <c r="Q23" s="129" t="n"/>
      <c r="R23" s="129" t="n"/>
      <c r="S23" s="129" t="n"/>
      <c r="T23" s="129" t="n"/>
      <c r="U23" s="129" t="n"/>
      <c r="V23" s="129" t="n"/>
      <c r="W23" s="129" t="n"/>
      <c r="X23" s="129" t="n"/>
      <c r="Y23" s="129" t="n"/>
      <c r="Z23" s="129" t="n"/>
      <c r="AA23" s="129" t="n"/>
      <c r="AB23" s="129" t="n"/>
      <c r="AC23" s="129" t="n"/>
      <c r="AD23" s="129" t="n"/>
      <c r="AE23" s="129" t="n"/>
      <c r="AF23" s="129" t="n"/>
      <c r="AG23" s="129" t="n"/>
      <c r="AH23" s="129" t="n"/>
      <c r="AI23" s="129" t="n"/>
      <c r="AJ23" s="129" t="n"/>
      <c r="AK23" s="129" t="n"/>
      <c r="AL23" s="129" t="n"/>
      <c r="AM23" s="129" t="n"/>
      <c r="AN23" s="129" t="n"/>
      <c r="AO23" s="129" t="n"/>
      <c r="AP23" s="129" t="n"/>
      <c r="AQ23" s="129" t="n"/>
      <c r="AR23" s="129" t="n"/>
      <c r="AS23" s="129" t="n"/>
      <c r="AT23" s="129" t="n"/>
      <c r="AU23" s="129" t="n"/>
      <c r="AV23" s="129" t="n"/>
    </row>
    <row r="24">
      <c r="A24" s="138" t="inlineStr">
        <is>
          <t>BASE-SCENARIO DRIVER VALUES -- Drivers! column D (Base), used for every driver NOT being swung in a given scenario row below, and for every non-axis assumption in Step 2's grid</t>
        </is>
      </c>
      <c r="B24" s="218" t="n"/>
      <c r="C24" s="218" t="n"/>
      <c r="D24" s="218" t="n"/>
      <c r="E24" s="218" t="n"/>
      <c r="F24" s="218" t="n"/>
      <c r="G24" s="218" t="n"/>
      <c r="H24" s="218" t="n"/>
      <c r="I24" s="218" t="n"/>
      <c r="J24" s="218" t="n"/>
      <c r="K24" s="218" t="n"/>
      <c r="L24" s="218" t="n"/>
      <c r="M24" s="218" t="n"/>
      <c r="N24" s="218" t="n"/>
      <c r="O24" s="218" t="n"/>
      <c r="P24" s="218" t="n"/>
      <c r="Q24" s="218" t="n"/>
      <c r="R24" s="218" t="n"/>
      <c r="S24" s="218" t="n"/>
      <c r="T24" s="218" t="n"/>
      <c r="U24" s="218" t="n"/>
      <c r="V24" s="218" t="n"/>
      <c r="W24" s="218" t="n"/>
      <c r="X24" s="218" t="n"/>
      <c r="Y24" s="218" t="n"/>
      <c r="Z24" s="218" t="n"/>
      <c r="AA24" s="218" t="n"/>
      <c r="AB24" s="218" t="n"/>
      <c r="AC24" s="218" t="n"/>
      <c r="AD24" s="218" t="n"/>
      <c r="AE24" s="218" t="n"/>
      <c r="AF24" s="218" t="n"/>
      <c r="AG24" s="218" t="n"/>
      <c r="AH24" s="218" t="n"/>
      <c r="AI24" s="218" t="n"/>
      <c r="AJ24" s="218" t="n"/>
      <c r="AK24" s="218" t="n"/>
      <c r="AL24" s="218" t="n"/>
      <c r="AM24" s="218" t="n"/>
      <c r="AN24" s="218" t="n"/>
      <c r="AO24" s="218" t="n"/>
      <c r="AP24" s="218" t="n"/>
      <c r="AQ24" s="218" t="n"/>
      <c r="AR24" s="218" t="n"/>
      <c r="AS24" s="218" t="n"/>
      <c r="AT24" s="218" t="n"/>
      <c r="AU24" s="218" t="n"/>
      <c r="AV24" s="219" t="n"/>
    </row>
    <row r="25" ht="26" customHeight="1">
      <c r="A25" s="154" t="inlineStr">
        <is>
          <t>Always Drivers! column D specifically (never column G/Active) -- this tab's baseline is always Base scenario, independent of whatever Drivers!B6 is currently switched to, so results are reproducible regardless of the live model's scenario state.</t>
        </is>
      </c>
      <c r="B25" s="218" t="n"/>
      <c r="C25" s="218" t="n"/>
      <c r="D25" s="218" t="n"/>
      <c r="E25" s="218" t="n"/>
      <c r="F25" s="218" t="n"/>
      <c r="G25" s="218" t="n"/>
      <c r="H25" s="218" t="n"/>
      <c r="I25" s="218" t="n"/>
      <c r="J25" s="218" t="n"/>
      <c r="K25" s="218" t="n"/>
      <c r="L25" s="218" t="n"/>
      <c r="M25" s="218" t="n"/>
      <c r="N25" s="218" t="n"/>
      <c r="O25" s="218" t="n"/>
      <c r="P25" s="218" t="n"/>
      <c r="Q25" s="218" t="n"/>
      <c r="R25" s="218" t="n"/>
      <c r="S25" s="218" t="n"/>
      <c r="T25" s="218" t="n"/>
      <c r="U25" s="218" t="n"/>
      <c r="V25" s="218" t="n"/>
      <c r="W25" s="218" t="n"/>
      <c r="X25" s="218" t="n"/>
      <c r="Y25" s="218" t="n"/>
      <c r="Z25" s="218" t="n"/>
      <c r="AA25" s="218" t="n"/>
      <c r="AB25" s="218" t="n"/>
      <c r="AC25" s="218" t="n"/>
      <c r="AD25" s="218" t="n"/>
      <c r="AE25" s="218" t="n"/>
      <c r="AF25" s="218" t="n"/>
      <c r="AG25" s="218" t="n"/>
      <c r="AH25" s="218" t="n"/>
      <c r="AI25" s="218" t="n"/>
      <c r="AJ25" s="218" t="n"/>
      <c r="AK25" s="218" t="n"/>
      <c r="AL25" s="218" t="n"/>
      <c r="AM25" s="218" t="n"/>
      <c r="AN25" s="218" t="n"/>
      <c r="AO25" s="218" t="n"/>
      <c r="AP25" s="218" t="n"/>
      <c r="AQ25" s="218" t="n"/>
      <c r="AR25" s="218" t="n"/>
      <c r="AS25" s="218" t="n"/>
      <c r="AT25" s="218" t="n"/>
      <c r="AU25" s="218" t="n"/>
      <c r="AV25" s="219" t="n"/>
    </row>
    <row r="26">
      <c r="A26" s="182" t="inlineStr">
        <is>
          <t>Driver</t>
        </is>
      </c>
      <c r="B26" s="182" t="inlineStr">
        <is>
          <t>Source Cell</t>
        </is>
      </c>
      <c r="C26" s="182" t="inlineStr">
        <is>
          <t>Base Value</t>
        </is>
      </c>
      <c r="D26" s="129" t="n"/>
      <c r="E26" s="129" t="n"/>
      <c r="F26" s="129" t="n"/>
      <c r="G26" s="129" t="n"/>
      <c r="H26" s="129" t="n"/>
      <c r="I26" s="129" t="n"/>
      <c r="J26" s="129" t="n"/>
      <c r="K26" s="129" t="n"/>
      <c r="L26" s="129" t="n"/>
      <c r="M26" s="129" t="n"/>
      <c r="N26" s="129" t="n"/>
      <c r="O26" s="129" t="n"/>
      <c r="P26" s="129" t="n"/>
      <c r="Q26" s="129" t="n"/>
      <c r="R26" s="129" t="n"/>
      <c r="S26" s="129" t="n"/>
      <c r="T26" s="129" t="n"/>
      <c r="U26" s="129" t="n"/>
      <c r="V26" s="129" t="n"/>
      <c r="W26" s="129" t="n"/>
      <c r="X26" s="129" t="n"/>
      <c r="Y26" s="129" t="n"/>
      <c r="Z26" s="129" t="n"/>
      <c r="AA26" s="129" t="n"/>
      <c r="AB26" s="129" t="n"/>
      <c r="AC26" s="129" t="n"/>
      <c r="AD26" s="129" t="n"/>
      <c r="AE26" s="129" t="n"/>
      <c r="AF26" s="129" t="n"/>
      <c r="AG26" s="129" t="n"/>
      <c r="AH26" s="129" t="n"/>
      <c r="AI26" s="129" t="n"/>
      <c r="AJ26" s="129" t="n"/>
      <c r="AK26" s="129" t="n"/>
      <c r="AL26" s="129" t="n"/>
      <c r="AM26" s="129" t="n"/>
      <c r="AN26" s="129" t="n"/>
      <c r="AO26" s="129" t="n"/>
      <c r="AP26" s="129" t="n"/>
      <c r="AQ26" s="129" t="n"/>
      <c r="AR26" s="129" t="n"/>
      <c r="AS26" s="129" t="n"/>
      <c r="AT26" s="129" t="n"/>
      <c r="AU26" s="129" t="n"/>
      <c r="AV26" s="129" t="n"/>
    </row>
    <row r="27">
      <c r="A27" s="127" t="inlineStr">
        <is>
          <t>iPhone -- Units Growth % (SWUNG driver #1)</t>
        </is>
      </c>
      <c r="B27" s="169" t="inlineStr">
        <is>
          <t>Drivers!D10</t>
        </is>
      </c>
      <c r="C27" s="142">
        <f>Drivers!D10</f>
        <v>0.015</v>
      </c>
      <c r="D27" s="129" t="n"/>
      <c r="E27" s="129" t="n"/>
      <c r="F27" s="129" t="n"/>
      <c r="G27" s="129" t="n"/>
      <c r="H27" s="129" t="n"/>
      <c r="I27" s="129" t="n"/>
      <c r="J27" s="129" t="n"/>
      <c r="K27" s="129" t="n"/>
      <c r="L27" s="129" t="n"/>
      <c r="M27" s="129" t="n"/>
      <c r="N27" s="129" t="n"/>
      <c r="O27" s="129" t="n"/>
      <c r="P27" s="129" t="n"/>
      <c r="Q27" s="129" t="n"/>
      <c r="R27" s="129" t="n"/>
      <c r="S27" s="129" t="n"/>
      <c r="T27" s="129" t="n"/>
      <c r="U27" s="129" t="n"/>
      <c r="V27" s="129" t="n"/>
      <c r="W27" s="129" t="n"/>
      <c r="X27" s="129" t="n"/>
      <c r="Y27" s="129" t="n"/>
      <c r="Z27" s="129" t="n"/>
      <c r="AA27" s="129" t="n"/>
      <c r="AB27" s="129" t="n"/>
      <c r="AC27" s="129" t="n"/>
      <c r="AD27" s="129" t="n"/>
      <c r="AE27" s="129" t="n"/>
      <c r="AF27" s="129" t="n"/>
      <c r="AG27" s="129" t="n"/>
      <c r="AH27" s="129" t="n"/>
      <c r="AI27" s="129" t="n"/>
      <c r="AJ27" s="129" t="n"/>
      <c r="AK27" s="129" t="n"/>
      <c r="AL27" s="129" t="n"/>
      <c r="AM27" s="129" t="n"/>
      <c r="AN27" s="129" t="n"/>
      <c r="AO27" s="129" t="n"/>
      <c r="AP27" s="129" t="n"/>
      <c r="AQ27" s="129" t="n"/>
      <c r="AR27" s="129" t="n"/>
      <c r="AS27" s="129" t="n"/>
      <c r="AT27" s="129" t="n"/>
      <c r="AU27" s="129" t="n"/>
      <c r="AV27" s="129" t="n"/>
    </row>
    <row r="28">
      <c r="A28" s="127" t="inlineStr">
        <is>
          <t>Mac -- Units Growth % (SWUNG driver #2)</t>
        </is>
      </c>
      <c r="B28" s="169" t="inlineStr">
        <is>
          <t>Drivers!D13</t>
        </is>
      </c>
      <c r="C28" s="142">
        <f>Drivers!D13</f>
        <v>0.04</v>
      </c>
      <c r="D28" s="129" t="n"/>
      <c r="E28" s="129" t="n"/>
      <c r="F28" s="129" t="n"/>
      <c r="G28" s="129" t="n"/>
      <c r="H28" s="129" t="n"/>
      <c r="I28" s="129" t="n"/>
      <c r="J28" s="129" t="n"/>
      <c r="K28" s="129" t="n"/>
      <c r="L28" s="129" t="n"/>
      <c r="M28" s="129" t="n"/>
      <c r="N28" s="129" t="n"/>
      <c r="O28" s="129" t="n"/>
      <c r="P28" s="129" t="n"/>
      <c r="Q28" s="129" t="n"/>
      <c r="R28" s="129" t="n"/>
      <c r="S28" s="129" t="n"/>
      <c r="T28" s="129" t="n"/>
      <c r="U28" s="129" t="n"/>
      <c r="V28" s="129" t="n"/>
      <c r="W28" s="129" t="n"/>
      <c r="X28" s="129" t="n"/>
      <c r="Y28" s="129" t="n"/>
      <c r="Z28" s="129" t="n"/>
      <c r="AA28" s="129" t="n"/>
      <c r="AB28" s="129" t="n"/>
      <c r="AC28" s="129" t="n"/>
      <c r="AD28" s="129" t="n"/>
      <c r="AE28" s="129" t="n"/>
      <c r="AF28" s="129" t="n"/>
      <c r="AG28" s="129" t="n"/>
      <c r="AH28" s="129" t="n"/>
      <c r="AI28" s="129" t="n"/>
      <c r="AJ28" s="129" t="n"/>
      <c r="AK28" s="129" t="n"/>
      <c r="AL28" s="129" t="n"/>
      <c r="AM28" s="129" t="n"/>
      <c r="AN28" s="129" t="n"/>
      <c r="AO28" s="129" t="n"/>
      <c r="AP28" s="129" t="n"/>
      <c r="AQ28" s="129" t="n"/>
      <c r="AR28" s="129" t="n"/>
      <c r="AS28" s="129" t="n"/>
      <c r="AT28" s="129" t="n"/>
      <c r="AU28" s="129" t="n"/>
      <c r="AV28" s="129" t="n"/>
    </row>
    <row r="29">
      <c r="A29" s="127" t="inlineStr">
        <is>
          <t>iPad -- Units Growth % (fixed, never swung)</t>
        </is>
      </c>
      <c r="B29" s="169" t="inlineStr">
        <is>
          <t>Drivers!D16</t>
        </is>
      </c>
      <c r="C29" s="142">
        <f>Drivers!D16</f>
        <v>0.01</v>
      </c>
      <c r="D29" s="129" t="n"/>
      <c r="E29" s="129" t="n"/>
      <c r="F29" s="129" t="n"/>
      <c r="G29" s="129" t="n"/>
      <c r="H29" s="129" t="n"/>
      <c r="I29" s="129" t="n"/>
      <c r="J29" s="129" t="n"/>
      <c r="K29" s="129" t="n"/>
      <c r="L29" s="129" t="n"/>
      <c r="M29" s="129" t="n"/>
      <c r="N29" s="129" t="n"/>
      <c r="O29" s="129" t="n"/>
      <c r="P29" s="129" t="n"/>
      <c r="Q29" s="129" t="n"/>
      <c r="R29" s="129" t="n"/>
      <c r="S29" s="129" t="n"/>
      <c r="T29" s="129" t="n"/>
      <c r="U29" s="129" t="n"/>
      <c r="V29" s="129" t="n"/>
      <c r="W29" s="129" t="n"/>
      <c r="X29" s="129" t="n"/>
      <c r="Y29" s="129" t="n"/>
      <c r="Z29" s="129" t="n"/>
      <c r="AA29" s="129" t="n"/>
      <c r="AB29" s="129" t="n"/>
      <c r="AC29" s="129" t="n"/>
      <c r="AD29" s="129" t="n"/>
      <c r="AE29" s="129" t="n"/>
      <c r="AF29" s="129" t="n"/>
      <c r="AG29" s="129" t="n"/>
      <c r="AH29" s="129" t="n"/>
      <c r="AI29" s="129" t="n"/>
      <c r="AJ29" s="129" t="n"/>
      <c r="AK29" s="129" t="n"/>
      <c r="AL29" s="129" t="n"/>
      <c r="AM29" s="129" t="n"/>
      <c r="AN29" s="129" t="n"/>
      <c r="AO29" s="129" t="n"/>
      <c r="AP29" s="129" t="n"/>
      <c r="AQ29" s="129" t="n"/>
      <c r="AR29" s="129" t="n"/>
      <c r="AS29" s="129" t="n"/>
      <c r="AT29" s="129" t="n"/>
      <c r="AU29" s="129" t="n"/>
      <c r="AV29" s="129" t="n"/>
    </row>
    <row r="30">
      <c r="A30" s="127" t="inlineStr">
        <is>
          <t>Wearables -- Units Growth % (fixed, never swung)</t>
        </is>
      </c>
      <c r="B30" s="169" t="inlineStr">
        <is>
          <t>Drivers!D19</t>
        </is>
      </c>
      <c r="C30" s="142">
        <f>Drivers!D19</f>
        <v>-0.01</v>
      </c>
      <c r="D30" s="129" t="n"/>
      <c r="E30" s="129" t="n"/>
      <c r="F30" s="129" t="n"/>
      <c r="G30" s="129" t="n"/>
      <c r="H30" s="129" t="n"/>
      <c r="I30" s="129" t="n"/>
      <c r="J30" s="129" t="n"/>
      <c r="K30" s="129" t="n"/>
      <c r="L30" s="129" t="n"/>
      <c r="M30" s="129" t="n"/>
      <c r="N30" s="129" t="n"/>
      <c r="O30" s="129" t="n"/>
      <c r="P30" s="129" t="n"/>
      <c r="Q30" s="129" t="n"/>
      <c r="R30" s="129" t="n"/>
      <c r="S30" s="129" t="n"/>
      <c r="T30" s="129" t="n"/>
      <c r="U30" s="129" t="n"/>
      <c r="V30" s="129" t="n"/>
      <c r="W30" s="129" t="n"/>
      <c r="X30" s="129" t="n"/>
      <c r="Y30" s="129" t="n"/>
      <c r="Z30" s="129" t="n"/>
      <c r="AA30" s="129" t="n"/>
      <c r="AB30" s="129" t="n"/>
      <c r="AC30" s="129" t="n"/>
      <c r="AD30" s="129" t="n"/>
      <c r="AE30" s="129" t="n"/>
      <c r="AF30" s="129" t="n"/>
      <c r="AG30" s="129" t="n"/>
      <c r="AH30" s="129" t="n"/>
      <c r="AI30" s="129" t="n"/>
      <c r="AJ30" s="129" t="n"/>
      <c r="AK30" s="129" t="n"/>
      <c r="AL30" s="129" t="n"/>
      <c r="AM30" s="129" t="n"/>
      <c r="AN30" s="129" t="n"/>
      <c r="AO30" s="129" t="n"/>
      <c r="AP30" s="129" t="n"/>
      <c r="AQ30" s="129" t="n"/>
      <c r="AR30" s="129" t="n"/>
      <c r="AS30" s="129" t="n"/>
      <c r="AT30" s="129" t="n"/>
      <c r="AU30" s="129" t="n"/>
      <c r="AV30" s="129" t="n"/>
    </row>
    <row r="31">
      <c r="A31" s="127" t="inlineStr">
        <is>
          <t>Services -- Installed Base Growth % (SWUNG driver #3)</t>
        </is>
      </c>
      <c r="B31" s="169" t="inlineStr">
        <is>
          <t>Drivers!D24</t>
        </is>
      </c>
      <c r="C31" s="142">
        <f>Drivers!D24</f>
        <v>0.075</v>
      </c>
      <c r="D31" s="129" t="n"/>
      <c r="E31" s="129" t="n"/>
      <c r="F31" s="129" t="n"/>
      <c r="G31" s="129" t="n"/>
      <c r="H31" s="129" t="n"/>
      <c r="I31" s="129" t="n"/>
      <c r="J31" s="129" t="n"/>
      <c r="K31" s="129" t="n"/>
      <c r="L31" s="129" t="n"/>
      <c r="M31" s="129" t="n"/>
      <c r="N31" s="129" t="n"/>
      <c r="O31" s="129" t="n"/>
      <c r="P31" s="129" t="n"/>
      <c r="Q31" s="129" t="n"/>
      <c r="R31" s="129" t="n"/>
      <c r="S31" s="129" t="n"/>
      <c r="T31" s="129" t="n"/>
      <c r="U31" s="129" t="n"/>
      <c r="V31" s="129" t="n"/>
      <c r="W31" s="129" t="n"/>
      <c r="X31" s="129" t="n"/>
      <c r="Y31" s="129" t="n"/>
      <c r="Z31" s="129" t="n"/>
      <c r="AA31" s="129" t="n"/>
      <c r="AB31" s="129" t="n"/>
      <c r="AC31" s="129" t="n"/>
      <c r="AD31" s="129" t="n"/>
      <c r="AE31" s="129" t="n"/>
      <c r="AF31" s="129" t="n"/>
      <c r="AG31" s="129" t="n"/>
      <c r="AH31" s="129" t="n"/>
      <c r="AI31" s="129" t="n"/>
      <c r="AJ31" s="129" t="n"/>
      <c r="AK31" s="129" t="n"/>
      <c r="AL31" s="129" t="n"/>
      <c r="AM31" s="129" t="n"/>
      <c r="AN31" s="129" t="n"/>
      <c r="AO31" s="129" t="n"/>
      <c r="AP31" s="129" t="n"/>
      <c r="AQ31" s="129" t="n"/>
      <c r="AR31" s="129" t="n"/>
      <c r="AS31" s="129" t="n"/>
      <c r="AT31" s="129" t="n"/>
      <c r="AU31" s="129" t="n"/>
      <c r="AV31" s="129" t="n"/>
    </row>
    <row r="32">
      <c r="A32" s="127" t="inlineStr">
        <is>
          <t>FX Impact on Revenue % (SWUNG driver #4)</t>
        </is>
      </c>
      <c r="B32" s="169" t="inlineStr">
        <is>
          <t>Drivers!D29</t>
        </is>
      </c>
      <c r="C32" s="142">
        <f>Drivers!D29</f>
        <v>0</v>
      </c>
      <c r="D32" s="129" t="n"/>
      <c r="E32" s="129" t="n"/>
      <c r="F32" s="129" t="n"/>
      <c r="G32" s="129" t="n"/>
      <c r="H32" s="129" t="n"/>
      <c r="I32" s="129" t="n"/>
      <c r="J32" s="129" t="n"/>
      <c r="K32" s="129" t="n"/>
      <c r="L32" s="129" t="n"/>
      <c r="M32" s="129" t="n"/>
      <c r="N32" s="129" t="n"/>
      <c r="O32" s="129" t="n"/>
      <c r="P32" s="129" t="n"/>
      <c r="Q32" s="129" t="n"/>
      <c r="R32" s="129" t="n"/>
      <c r="S32" s="129" t="n"/>
      <c r="T32" s="129" t="n"/>
      <c r="U32" s="129" t="n"/>
      <c r="V32" s="129" t="n"/>
      <c r="W32" s="129" t="n"/>
      <c r="X32" s="129" t="n"/>
      <c r="Y32" s="129" t="n"/>
      <c r="Z32" s="129" t="n"/>
      <c r="AA32" s="129" t="n"/>
      <c r="AB32" s="129" t="n"/>
      <c r="AC32" s="129" t="n"/>
      <c r="AD32" s="129" t="n"/>
      <c r="AE32" s="129" t="n"/>
      <c r="AF32" s="129" t="n"/>
      <c r="AG32" s="129" t="n"/>
      <c r="AH32" s="129" t="n"/>
      <c r="AI32" s="129" t="n"/>
      <c r="AJ32" s="129" t="n"/>
      <c r="AK32" s="129" t="n"/>
      <c r="AL32" s="129" t="n"/>
      <c r="AM32" s="129" t="n"/>
      <c r="AN32" s="129" t="n"/>
      <c r="AO32" s="129" t="n"/>
      <c r="AP32" s="129" t="n"/>
      <c r="AQ32" s="129" t="n"/>
      <c r="AR32" s="129" t="n"/>
      <c r="AS32" s="129" t="n"/>
      <c r="AT32" s="129" t="n"/>
      <c r="AU32" s="129" t="n"/>
      <c r="AV32" s="129" t="n"/>
    </row>
    <row r="33">
      <c r="A33" s="127" t="inlineStr">
        <is>
          <t>Mix Impact on Revenue % (fixed, never swung)</t>
        </is>
      </c>
      <c r="B33" s="169" t="inlineStr">
        <is>
          <t>Drivers!D30</t>
        </is>
      </c>
      <c r="C33" s="142">
        <f>Drivers!D30</f>
        <v>0</v>
      </c>
      <c r="D33" s="129" t="n"/>
      <c r="E33" s="129" t="n"/>
      <c r="F33" s="129" t="n"/>
      <c r="G33" s="129" t="n"/>
      <c r="H33" s="129" t="n"/>
      <c r="I33" s="129" t="n"/>
      <c r="J33" s="129" t="n"/>
      <c r="K33" s="129" t="n"/>
      <c r="L33" s="129" t="n"/>
      <c r="M33" s="129" t="n"/>
      <c r="N33" s="129" t="n"/>
      <c r="O33" s="129" t="n"/>
      <c r="P33" s="129" t="n"/>
      <c r="Q33" s="129" t="n"/>
      <c r="R33" s="129" t="n"/>
      <c r="S33" s="129" t="n"/>
      <c r="T33" s="129" t="n"/>
      <c r="U33" s="129" t="n"/>
      <c r="V33" s="129" t="n"/>
      <c r="W33" s="129" t="n"/>
      <c r="X33" s="129" t="n"/>
      <c r="Y33" s="129" t="n"/>
      <c r="Z33" s="129" t="n"/>
      <c r="AA33" s="129" t="n"/>
      <c r="AB33" s="129" t="n"/>
      <c r="AC33" s="129" t="n"/>
      <c r="AD33" s="129" t="n"/>
      <c r="AE33" s="129" t="n"/>
      <c r="AF33" s="129" t="n"/>
      <c r="AG33" s="129" t="n"/>
      <c r="AH33" s="129" t="n"/>
      <c r="AI33" s="129" t="n"/>
      <c r="AJ33" s="129" t="n"/>
      <c r="AK33" s="129" t="n"/>
      <c r="AL33" s="129" t="n"/>
      <c r="AM33" s="129" t="n"/>
      <c r="AN33" s="129" t="n"/>
      <c r="AO33" s="129" t="n"/>
      <c r="AP33" s="129" t="n"/>
      <c r="AQ33" s="129" t="n"/>
      <c r="AR33" s="129" t="n"/>
      <c r="AS33" s="129" t="n"/>
      <c r="AT33" s="129" t="n"/>
      <c r="AU33" s="129" t="n"/>
      <c r="AV33" s="129" t="n"/>
    </row>
    <row r="34">
      <c r="A34" s="127" t="inlineStr">
        <is>
          <t>Products Gross Margin % (SWUNG driver #5a)</t>
        </is>
      </c>
      <c r="B34" s="169" t="inlineStr">
        <is>
          <t>Drivers!D33</t>
        </is>
      </c>
      <c r="C34" s="142">
        <f>Drivers!D33</f>
        <v>0.37</v>
      </c>
      <c r="D34" s="129" t="n"/>
      <c r="E34" s="129" t="n"/>
      <c r="F34" s="129" t="n"/>
      <c r="G34" s="129" t="n"/>
      <c r="H34" s="129" t="n"/>
      <c r="I34" s="129" t="n"/>
      <c r="J34" s="129" t="n"/>
      <c r="K34" s="129" t="n"/>
      <c r="L34" s="129" t="n"/>
      <c r="M34" s="129" t="n"/>
      <c r="N34" s="129" t="n"/>
      <c r="O34" s="129" t="n"/>
      <c r="P34" s="129" t="n"/>
      <c r="Q34" s="129" t="n"/>
      <c r="R34" s="129" t="n"/>
      <c r="S34" s="129" t="n"/>
      <c r="T34" s="129" t="n"/>
      <c r="U34" s="129" t="n"/>
      <c r="V34" s="129" t="n"/>
      <c r="W34" s="129" t="n"/>
      <c r="X34" s="129" t="n"/>
      <c r="Y34" s="129" t="n"/>
      <c r="Z34" s="129" t="n"/>
      <c r="AA34" s="129" t="n"/>
      <c r="AB34" s="129" t="n"/>
      <c r="AC34" s="129" t="n"/>
      <c r="AD34" s="129" t="n"/>
      <c r="AE34" s="129" t="n"/>
      <c r="AF34" s="129" t="n"/>
      <c r="AG34" s="129" t="n"/>
      <c r="AH34" s="129" t="n"/>
      <c r="AI34" s="129" t="n"/>
      <c r="AJ34" s="129" t="n"/>
      <c r="AK34" s="129" t="n"/>
      <c r="AL34" s="129" t="n"/>
      <c r="AM34" s="129" t="n"/>
      <c r="AN34" s="129" t="n"/>
      <c r="AO34" s="129" t="n"/>
      <c r="AP34" s="129" t="n"/>
      <c r="AQ34" s="129" t="n"/>
      <c r="AR34" s="129" t="n"/>
      <c r="AS34" s="129" t="n"/>
      <c r="AT34" s="129" t="n"/>
      <c r="AU34" s="129" t="n"/>
      <c r="AV34" s="129" t="n"/>
    </row>
    <row r="35">
      <c r="A35" s="127" t="inlineStr">
        <is>
          <t>Services Gross Margin % (SWUNG driver #5b)</t>
        </is>
      </c>
      <c r="B35" s="169" t="inlineStr">
        <is>
          <t>Drivers!D34</t>
        </is>
      </c>
      <c r="C35" s="142">
        <f>Drivers!D34</f>
        <v>0.755</v>
      </c>
      <c r="D35" s="129" t="n"/>
      <c r="E35" s="129" t="n"/>
      <c r="F35" s="129" t="n"/>
      <c r="G35" s="129" t="n"/>
      <c r="H35" s="129" t="n"/>
      <c r="I35" s="129" t="n"/>
      <c r="J35" s="129" t="n"/>
      <c r="K35" s="129" t="n"/>
      <c r="L35" s="129" t="n"/>
      <c r="M35" s="129" t="n"/>
      <c r="N35" s="129" t="n"/>
      <c r="O35" s="129" t="n"/>
      <c r="P35" s="129" t="n"/>
      <c r="Q35" s="129" t="n"/>
      <c r="R35" s="129" t="n"/>
      <c r="S35" s="129" t="n"/>
      <c r="T35" s="129" t="n"/>
      <c r="U35" s="129" t="n"/>
      <c r="V35" s="129" t="n"/>
      <c r="W35" s="129" t="n"/>
      <c r="X35" s="129" t="n"/>
      <c r="Y35" s="129" t="n"/>
      <c r="Z35" s="129" t="n"/>
      <c r="AA35" s="129" t="n"/>
      <c r="AB35" s="129" t="n"/>
      <c r="AC35" s="129" t="n"/>
      <c r="AD35" s="129" t="n"/>
      <c r="AE35" s="129" t="n"/>
      <c r="AF35" s="129" t="n"/>
      <c r="AG35" s="129" t="n"/>
      <c r="AH35" s="129" t="n"/>
      <c r="AI35" s="129" t="n"/>
      <c r="AJ35" s="129" t="n"/>
      <c r="AK35" s="129" t="n"/>
      <c r="AL35" s="129" t="n"/>
      <c r="AM35" s="129" t="n"/>
      <c r="AN35" s="129" t="n"/>
      <c r="AO35" s="129" t="n"/>
      <c r="AP35" s="129" t="n"/>
      <c r="AQ35" s="129" t="n"/>
      <c r="AR35" s="129" t="n"/>
      <c r="AS35" s="129" t="n"/>
      <c r="AT35" s="129" t="n"/>
      <c r="AU35" s="129" t="n"/>
      <c r="AV35" s="129" t="n"/>
    </row>
    <row r="36">
      <c r="A36" s="127" t="inlineStr">
        <is>
          <t>SG&amp;A (% of Revenue) (fixed, never swung)</t>
        </is>
      </c>
      <c r="B36" s="169" t="inlineStr">
        <is>
          <t>Drivers!D37</t>
        </is>
      </c>
      <c r="C36" s="142">
        <f>Drivers!D37</f>
        <v>0.066</v>
      </c>
      <c r="D36" s="129" t="n"/>
      <c r="E36" s="129" t="n"/>
      <c r="F36" s="129" t="n"/>
      <c r="G36" s="129" t="n"/>
      <c r="H36" s="129" t="n"/>
      <c r="I36" s="129" t="n"/>
      <c r="J36" s="129" t="n"/>
      <c r="K36" s="129" t="n"/>
      <c r="L36" s="129" t="n"/>
      <c r="M36" s="129" t="n"/>
      <c r="N36" s="129" t="n"/>
      <c r="O36" s="129" t="n"/>
      <c r="P36" s="129" t="n"/>
      <c r="Q36" s="129" t="n"/>
      <c r="R36" s="129" t="n"/>
      <c r="S36" s="129" t="n"/>
      <c r="T36" s="129" t="n"/>
      <c r="U36" s="129" t="n"/>
      <c r="V36" s="129" t="n"/>
      <c r="W36" s="129" t="n"/>
      <c r="X36" s="129" t="n"/>
      <c r="Y36" s="129" t="n"/>
      <c r="Z36" s="129" t="n"/>
      <c r="AA36" s="129" t="n"/>
      <c r="AB36" s="129" t="n"/>
      <c r="AC36" s="129" t="n"/>
      <c r="AD36" s="129" t="n"/>
      <c r="AE36" s="129" t="n"/>
      <c r="AF36" s="129" t="n"/>
      <c r="AG36" s="129" t="n"/>
      <c r="AH36" s="129" t="n"/>
      <c r="AI36" s="129" t="n"/>
      <c r="AJ36" s="129" t="n"/>
      <c r="AK36" s="129" t="n"/>
      <c r="AL36" s="129" t="n"/>
      <c r="AM36" s="129" t="n"/>
      <c r="AN36" s="129" t="n"/>
      <c r="AO36" s="129" t="n"/>
      <c r="AP36" s="129" t="n"/>
      <c r="AQ36" s="129" t="n"/>
      <c r="AR36" s="129" t="n"/>
      <c r="AS36" s="129" t="n"/>
      <c r="AT36" s="129" t="n"/>
      <c r="AU36" s="129" t="n"/>
      <c r="AV36" s="129" t="n"/>
    </row>
    <row r="37">
      <c r="A37" s="127" t="inlineStr">
        <is>
          <t>R&amp;D (% of Revenue) (fixed, never swung)</t>
        </is>
      </c>
      <c r="B37" s="169" t="inlineStr">
        <is>
          <t>Drivers!D38</t>
        </is>
      </c>
      <c r="C37" s="142">
        <f>Drivers!D38</f>
        <v>0.083</v>
      </c>
      <c r="D37" s="129" t="n"/>
      <c r="E37" s="129" t="n"/>
      <c r="F37" s="129" t="n"/>
      <c r="G37" s="129" t="n"/>
      <c r="H37" s="129" t="n"/>
      <c r="I37" s="129" t="n"/>
      <c r="J37" s="129" t="n"/>
      <c r="K37" s="129" t="n"/>
      <c r="L37" s="129" t="n"/>
      <c r="M37" s="129" t="n"/>
      <c r="N37" s="129" t="n"/>
      <c r="O37" s="129" t="n"/>
      <c r="P37" s="129" t="n"/>
      <c r="Q37" s="129" t="n"/>
      <c r="R37" s="129" t="n"/>
      <c r="S37" s="129" t="n"/>
      <c r="T37" s="129" t="n"/>
      <c r="U37" s="129" t="n"/>
      <c r="V37" s="129" t="n"/>
      <c r="W37" s="129" t="n"/>
      <c r="X37" s="129" t="n"/>
      <c r="Y37" s="129" t="n"/>
      <c r="Z37" s="129" t="n"/>
      <c r="AA37" s="129" t="n"/>
      <c r="AB37" s="129" t="n"/>
      <c r="AC37" s="129" t="n"/>
      <c r="AD37" s="129" t="n"/>
      <c r="AE37" s="129" t="n"/>
      <c r="AF37" s="129" t="n"/>
      <c r="AG37" s="129" t="n"/>
      <c r="AH37" s="129" t="n"/>
      <c r="AI37" s="129" t="n"/>
      <c r="AJ37" s="129" t="n"/>
      <c r="AK37" s="129" t="n"/>
      <c r="AL37" s="129" t="n"/>
      <c r="AM37" s="129" t="n"/>
      <c r="AN37" s="129" t="n"/>
      <c r="AO37" s="129" t="n"/>
      <c r="AP37" s="129" t="n"/>
      <c r="AQ37" s="129" t="n"/>
      <c r="AR37" s="129" t="n"/>
      <c r="AS37" s="129" t="n"/>
      <c r="AT37" s="129" t="n"/>
      <c r="AU37" s="129" t="n"/>
      <c r="AV37" s="129" t="n"/>
    </row>
    <row r="38">
      <c r="A38" s="127" t="inlineStr">
        <is>
          <t>Days Sales Outstanding (DSO) (fixed, never swung)</t>
        </is>
      </c>
      <c r="B38" s="169" t="inlineStr">
        <is>
          <t>Drivers!D41</t>
        </is>
      </c>
      <c r="C38" s="190">
        <f>Drivers!D41</f>
        <v>33</v>
      </c>
      <c r="D38" s="129" t="n"/>
      <c r="E38" s="129" t="n"/>
      <c r="F38" s="129" t="n"/>
      <c r="G38" s="129" t="n"/>
      <c r="H38" s="129" t="n"/>
      <c r="I38" s="129" t="n"/>
      <c r="J38" s="129" t="n"/>
      <c r="K38" s="129" t="n"/>
      <c r="L38" s="129" t="n"/>
      <c r="M38" s="129" t="n"/>
      <c r="N38" s="129" t="n"/>
      <c r="O38" s="129" t="n"/>
      <c r="P38" s="129" t="n"/>
      <c r="Q38" s="129" t="n"/>
      <c r="R38" s="129" t="n"/>
      <c r="S38" s="129" t="n"/>
      <c r="T38" s="129" t="n"/>
      <c r="U38" s="129" t="n"/>
      <c r="V38" s="129" t="n"/>
      <c r="W38" s="129" t="n"/>
      <c r="X38" s="129" t="n"/>
      <c r="Y38" s="129" t="n"/>
      <c r="Z38" s="129" t="n"/>
      <c r="AA38" s="129" t="n"/>
      <c r="AB38" s="129" t="n"/>
      <c r="AC38" s="129" t="n"/>
      <c r="AD38" s="129" t="n"/>
      <c r="AE38" s="129" t="n"/>
      <c r="AF38" s="129" t="n"/>
      <c r="AG38" s="129" t="n"/>
      <c r="AH38" s="129" t="n"/>
      <c r="AI38" s="129" t="n"/>
      <c r="AJ38" s="129" t="n"/>
      <c r="AK38" s="129" t="n"/>
      <c r="AL38" s="129" t="n"/>
      <c r="AM38" s="129" t="n"/>
      <c r="AN38" s="129" t="n"/>
      <c r="AO38" s="129" t="n"/>
      <c r="AP38" s="129" t="n"/>
      <c r="AQ38" s="129" t="n"/>
      <c r="AR38" s="129" t="n"/>
      <c r="AS38" s="129" t="n"/>
      <c r="AT38" s="129" t="n"/>
      <c r="AU38" s="129" t="n"/>
      <c r="AV38" s="129" t="n"/>
    </row>
    <row r="39">
      <c r="A39" s="127" t="inlineStr">
        <is>
          <t>Days Inventory Outstanding (DIO) (fixed, never swung)</t>
        </is>
      </c>
      <c r="B39" s="169" t="inlineStr">
        <is>
          <t>Drivers!D42</t>
        </is>
      </c>
      <c r="C39" s="190">
        <f>Drivers!D42</f>
        <v>10</v>
      </c>
      <c r="D39" s="129" t="n"/>
      <c r="E39" s="129" t="n"/>
      <c r="F39" s="129" t="n"/>
      <c r="G39" s="129" t="n"/>
      <c r="H39" s="129" t="n"/>
      <c r="I39" s="129" t="n"/>
      <c r="J39" s="129" t="n"/>
      <c r="K39" s="129" t="n"/>
      <c r="L39" s="129" t="n"/>
      <c r="M39" s="129" t="n"/>
      <c r="N39" s="129" t="n"/>
      <c r="O39" s="129" t="n"/>
      <c r="P39" s="129" t="n"/>
      <c r="Q39" s="129" t="n"/>
      <c r="R39" s="129" t="n"/>
      <c r="S39" s="129" t="n"/>
      <c r="T39" s="129" t="n"/>
      <c r="U39" s="129" t="n"/>
      <c r="V39" s="129" t="n"/>
      <c r="W39" s="129" t="n"/>
      <c r="X39" s="129" t="n"/>
      <c r="Y39" s="129" t="n"/>
      <c r="Z39" s="129" t="n"/>
      <c r="AA39" s="129" t="n"/>
      <c r="AB39" s="129" t="n"/>
      <c r="AC39" s="129" t="n"/>
      <c r="AD39" s="129" t="n"/>
      <c r="AE39" s="129" t="n"/>
      <c r="AF39" s="129" t="n"/>
      <c r="AG39" s="129" t="n"/>
      <c r="AH39" s="129" t="n"/>
      <c r="AI39" s="129" t="n"/>
      <c r="AJ39" s="129" t="n"/>
      <c r="AK39" s="129" t="n"/>
      <c r="AL39" s="129" t="n"/>
      <c r="AM39" s="129" t="n"/>
      <c r="AN39" s="129" t="n"/>
      <c r="AO39" s="129" t="n"/>
      <c r="AP39" s="129" t="n"/>
      <c r="AQ39" s="129" t="n"/>
      <c r="AR39" s="129" t="n"/>
      <c r="AS39" s="129" t="n"/>
      <c r="AT39" s="129" t="n"/>
      <c r="AU39" s="129" t="n"/>
      <c r="AV39" s="129" t="n"/>
    </row>
    <row r="40">
      <c r="A40" s="127" t="inlineStr">
        <is>
          <t>Days Payable Outstanding (DPO) (fixed, never swung)</t>
        </is>
      </c>
      <c r="B40" s="169" t="inlineStr">
        <is>
          <t>Drivers!D43</t>
        </is>
      </c>
      <c r="C40" s="190">
        <f>Drivers!D43</f>
        <v>115</v>
      </c>
      <c r="D40" s="129" t="n"/>
      <c r="E40" s="129" t="n"/>
      <c r="F40" s="129" t="n"/>
      <c r="G40" s="129" t="n"/>
      <c r="H40" s="129" t="n"/>
      <c r="I40" s="129" t="n"/>
      <c r="J40" s="129" t="n"/>
      <c r="K40" s="129" t="n"/>
      <c r="L40" s="129" t="n"/>
      <c r="M40" s="129" t="n"/>
      <c r="N40" s="129" t="n"/>
      <c r="O40" s="129" t="n"/>
      <c r="P40" s="129" t="n"/>
      <c r="Q40" s="129" t="n"/>
      <c r="R40" s="129" t="n"/>
      <c r="S40" s="129" t="n"/>
      <c r="T40" s="129" t="n"/>
      <c r="U40" s="129" t="n"/>
      <c r="V40" s="129" t="n"/>
      <c r="W40" s="129" t="n"/>
      <c r="X40" s="129" t="n"/>
      <c r="Y40" s="129" t="n"/>
      <c r="Z40" s="129" t="n"/>
      <c r="AA40" s="129" t="n"/>
      <c r="AB40" s="129" t="n"/>
      <c r="AC40" s="129" t="n"/>
      <c r="AD40" s="129" t="n"/>
      <c r="AE40" s="129" t="n"/>
      <c r="AF40" s="129" t="n"/>
      <c r="AG40" s="129" t="n"/>
      <c r="AH40" s="129" t="n"/>
      <c r="AI40" s="129" t="n"/>
      <c r="AJ40" s="129" t="n"/>
      <c r="AK40" s="129" t="n"/>
      <c r="AL40" s="129" t="n"/>
      <c r="AM40" s="129" t="n"/>
      <c r="AN40" s="129" t="n"/>
      <c r="AO40" s="129" t="n"/>
      <c r="AP40" s="129" t="n"/>
      <c r="AQ40" s="129" t="n"/>
      <c r="AR40" s="129" t="n"/>
      <c r="AS40" s="129" t="n"/>
      <c r="AT40" s="129" t="n"/>
      <c r="AU40" s="129" t="n"/>
      <c r="AV40" s="129" t="n"/>
    </row>
    <row r="41">
      <c r="A41" s="127" t="inlineStr">
        <is>
          <t>CapEx (% of Revenue) (fixed, never swung)</t>
        </is>
      </c>
      <c r="B41" s="169" t="inlineStr">
        <is>
          <t>Drivers!D46</t>
        </is>
      </c>
      <c r="C41" s="142">
        <f>Drivers!D46</f>
        <v>0.03</v>
      </c>
      <c r="D41" s="129" t="n"/>
      <c r="E41" s="129" t="n"/>
      <c r="F41" s="129" t="n"/>
      <c r="G41" s="129" t="n"/>
      <c r="H41" s="129" t="n"/>
      <c r="I41" s="129" t="n"/>
      <c r="J41" s="129" t="n"/>
      <c r="K41" s="129" t="n"/>
      <c r="L41" s="129" t="n"/>
      <c r="M41" s="129" t="n"/>
      <c r="N41" s="129" t="n"/>
      <c r="O41" s="129" t="n"/>
      <c r="P41" s="129" t="n"/>
      <c r="Q41" s="129" t="n"/>
      <c r="R41" s="129" t="n"/>
      <c r="S41" s="129" t="n"/>
      <c r="T41" s="129" t="n"/>
      <c r="U41" s="129" t="n"/>
      <c r="V41" s="129" t="n"/>
      <c r="W41" s="129" t="n"/>
      <c r="X41" s="129" t="n"/>
      <c r="Y41" s="129" t="n"/>
      <c r="Z41" s="129" t="n"/>
      <c r="AA41" s="129" t="n"/>
      <c r="AB41" s="129" t="n"/>
      <c r="AC41" s="129" t="n"/>
      <c r="AD41" s="129" t="n"/>
      <c r="AE41" s="129" t="n"/>
      <c r="AF41" s="129" t="n"/>
      <c r="AG41" s="129" t="n"/>
      <c r="AH41" s="129" t="n"/>
      <c r="AI41" s="129" t="n"/>
      <c r="AJ41" s="129" t="n"/>
      <c r="AK41" s="129" t="n"/>
      <c r="AL41" s="129" t="n"/>
      <c r="AM41" s="129" t="n"/>
      <c r="AN41" s="129" t="n"/>
      <c r="AO41" s="129" t="n"/>
      <c r="AP41" s="129" t="n"/>
      <c r="AQ41" s="129" t="n"/>
      <c r="AR41" s="129" t="n"/>
      <c r="AS41" s="129" t="n"/>
      <c r="AT41" s="129" t="n"/>
      <c r="AU41" s="129" t="n"/>
      <c r="AV41" s="129" t="n"/>
    </row>
    <row r="42">
      <c r="A42" s="127" t="inlineStr">
        <is>
          <t>Buyback ($ as % of Trailing FCF) (SWUNG driver #6)</t>
        </is>
      </c>
      <c r="B42" s="169" t="inlineStr">
        <is>
          <t>Drivers!D47</t>
        </is>
      </c>
      <c r="C42" s="142">
        <f>Drivers!D47</f>
        <v>0.9</v>
      </c>
      <c r="D42" s="129" t="n"/>
      <c r="E42" s="129" t="n"/>
      <c r="F42" s="129" t="n"/>
      <c r="G42" s="129" t="n"/>
      <c r="H42" s="129" t="n"/>
      <c r="I42" s="129" t="n"/>
      <c r="J42" s="129" t="n"/>
      <c r="K42" s="129" t="n"/>
      <c r="L42" s="129" t="n"/>
      <c r="M42" s="129" t="n"/>
      <c r="N42" s="129" t="n"/>
      <c r="O42" s="129" t="n"/>
      <c r="P42" s="129" t="n"/>
      <c r="Q42" s="129" t="n"/>
      <c r="R42" s="129" t="n"/>
      <c r="S42" s="129" t="n"/>
      <c r="T42" s="129" t="n"/>
      <c r="U42" s="129" t="n"/>
      <c r="V42" s="129" t="n"/>
      <c r="W42" s="129" t="n"/>
      <c r="X42" s="129" t="n"/>
      <c r="Y42" s="129" t="n"/>
      <c r="Z42" s="129" t="n"/>
      <c r="AA42" s="129" t="n"/>
      <c r="AB42" s="129" t="n"/>
      <c r="AC42" s="129" t="n"/>
      <c r="AD42" s="129" t="n"/>
      <c r="AE42" s="129" t="n"/>
      <c r="AF42" s="129" t="n"/>
      <c r="AG42" s="129" t="n"/>
      <c r="AH42" s="129" t="n"/>
      <c r="AI42" s="129" t="n"/>
      <c r="AJ42" s="129" t="n"/>
      <c r="AK42" s="129" t="n"/>
      <c r="AL42" s="129" t="n"/>
      <c r="AM42" s="129" t="n"/>
      <c r="AN42" s="129" t="n"/>
      <c r="AO42" s="129" t="n"/>
      <c r="AP42" s="129" t="n"/>
      <c r="AQ42" s="129" t="n"/>
      <c r="AR42" s="129" t="n"/>
      <c r="AS42" s="129" t="n"/>
      <c r="AT42" s="129" t="n"/>
      <c r="AU42" s="129" t="n"/>
      <c r="AV42" s="129" t="n"/>
    </row>
    <row r="43">
      <c r="A43" s="127" t="inlineStr">
        <is>
          <t>Dividend Payout (% of Net Income) (fixed, never swung)</t>
        </is>
      </c>
      <c r="B43" s="169" t="inlineStr">
        <is>
          <t>Drivers!D48</t>
        </is>
      </c>
      <c r="C43" s="142">
        <f>Drivers!D48</f>
        <v>0.15</v>
      </c>
      <c r="D43" s="129" t="n"/>
      <c r="E43" s="129" t="n"/>
      <c r="F43" s="129" t="n"/>
      <c r="G43" s="129" t="n"/>
      <c r="H43" s="129" t="n"/>
      <c r="I43" s="129" t="n"/>
      <c r="J43" s="129" t="n"/>
      <c r="K43" s="129" t="n"/>
      <c r="L43" s="129" t="n"/>
      <c r="M43" s="129" t="n"/>
      <c r="N43" s="129" t="n"/>
      <c r="O43" s="129" t="n"/>
      <c r="P43" s="129" t="n"/>
      <c r="Q43" s="129" t="n"/>
      <c r="R43" s="129" t="n"/>
      <c r="S43" s="129" t="n"/>
      <c r="T43" s="129" t="n"/>
      <c r="U43" s="129" t="n"/>
      <c r="V43" s="129" t="n"/>
      <c r="W43" s="129" t="n"/>
      <c r="X43" s="129" t="n"/>
      <c r="Y43" s="129" t="n"/>
      <c r="Z43" s="129" t="n"/>
      <c r="AA43" s="129" t="n"/>
      <c r="AB43" s="129" t="n"/>
      <c r="AC43" s="129" t="n"/>
      <c r="AD43" s="129" t="n"/>
      <c r="AE43" s="129" t="n"/>
      <c r="AF43" s="129" t="n"/>
      <c r="AG43" s="129" t="n"/>
      <c r="AH43" s="129" t="n"/>
      <c r="AI43" s="129" t="n"/>
      <c r="AJ43" s="129" t="n"/>
      <c r="AK43" s="129" t="n"/>
      <c r="AL43" s="129" t="n"/>
      <c r="AM43" s="129" t="n"/>
      <c r="AN43" s="129" t="n"/>
      <c r="AO43" s="129" t="n"/>
      <c r="AP43" s="129" t="n"/>
      <c r="AQ43" s="129" t="n"/>
      <c r="AR43" s="129" t="n"/>
      <c r="AS43" s="129" t="n"/>
      <c r="AT43" s="129" t="n"/>
      <c r="AU43" s="129" t="n"/>
      <c r="AV43" s="129" t="n"/>
    </row>
    <row r="44">
      <c r="A44" s="127" t="inlineStr">
        <is>
          <t>Effective Tax Rate % (SWUNG driver #7)</t>
        </is>
      </c>
      <c r="B44" s="169" t="inlineStr">
        <is>
          <t>Drivers!D49</t>
        </is>
      </c>
      <c r="C44" s="142">
        <f>Drivers!D49</f>
        <v>0.16</v>
      </c>
      <c r="D44" s="129" t="n"/>
      <c r="E44" s="129" t="n"/>
      <c r="F44" s="129" t="n"/>
      <c r="G44" s="129" t="n"/>
      <c r="H44" s="129" t="n"/>
      <c r="I44" s="129" t="n"/>
      <c r="J44" s="129" t="n"/>
      <c r="K44" s="129" t="n"/>
      <c r="L44" s="129" t="n"/>
      <c r="M44" s="129" t="n"/>
      <c r="N44" s="129" t="n"/>
      <c r="O44" s="129" t="n"/>
      <c r="P44" s="129" t="n"/>
      <c r="Q44" s="129" t="n"/>
      <c r="R44" s="129" t="n"/>
      <c r="S44" s="129" t="n"/>
      <c r="T44" s="129" t="n"/>
      <c r="U44" s="129" t="n"/>
      <c r="V44" s="129" t="n"/>
      <c r="W44" s="129" t="n"/>
      <c r="X44" s="129" t="n"/>
      <c r="Y44" s="129" t="n"/>
      <c r="Z44" s="129" t="n"/>
      <c r="AA44" s="129" t="n"/>
      <c r="AB44" s="129" t="n"/>
      <c r="AC44" s="129" t="n"/>
      <c r="AD44" s="129" t="n"/>
      <c r="AE44" s="129" t="n"/>
      <c r="AF44" s="129" t="n"/>
      <c r="AG44" s="129" t="n"/>
      <c r="AH44" s="129" t="n"/>
      <c r="AI44" s="129" t="n"/>
      <c r="AJ44" s="129" t="n"/>
      <c r="AK44" s="129" t="n"/>
      <c r="AL44" s="129" t="n"/>
      <c r="AM44" s="129" t="n"/>
      <c r="AN44" s="129" t="n"/>
      <c r="AO44" s="129" t="n"/>
      <c r="AP44" s="129" t="n"/>
      <c r="AQ44" s="129" t="n"/>
      <c r="AR44" s="129" t="n"/>
      <c r="AS44" s="129" t="n"/>
      <c r="AT44" s="129" t="n"/>
      <c r="AU44" s="129" t="n"/>
      <c r="AV44" s="129" t="n"/>
    </row>
    <row r="45">
      <c r="A45" s="127" t="inlineStr">
        <is>
          <t>Debt Roll -- Net New Issuance/(Repayment) ($M) (fixed, never swung)</t>
        </is>
      </c>
      <c r="B45" s="169" t="inlineStr">
        <is>
          <t>Drivers!D50</t>
        </is>
      </c>
      <c r="C45" s="146">
        <f>Drivers!D50</f>
        <v>0</v>
      </c>
      <c r="D45" s="129" t="n"/>
      <c r="E45" s="129" t="n"/>
      <c r="F45" s="129" t="n"/>
      <c r="G45" s="129" t="n"/>
      <c r="H45" s="129" t="n"/>
      <c r="I45" s="129" t="n"/>
      <c r="J45" s="129" t="n"/>
      <c r="K45" s="129" t="n"/>
      <c r="L45" s="129" t="n"/>
      <c r="M45" s="129" t="n"/>
      <c r="N45" s="129" t="n"/>
      <c r="O45" s="129" t="n"/>
      <c r="P45" s="129" t="n"/>
      <c r="Q45" s="129" t="n"/>
      <c r="R45" s="129" t="n"/>
      <c r="S45" s="129" t="n"/>
      <c r="T45" s="129" t="n"/>
      <c r="U45" s="129" t="n"/>
      <c r="V45" s="129" t="n"/>
      <c r="W45" s="129" t="n"/>
      <c r="X45" s="129" t="n"/>
      <c r="Y45" s="129" t="n"/>
      <c r="Z45" s="129" t="n"/>
      <c r="AA45" s="129" t="n"/>
      <c r="AB45" s="129" t="n"/>
      <c r="AC45" s="129" t="n"/>
      <c r="AD45" s="129" t="n"/>
      <c r="AE45" s="129" t="n"/>
      <c r="AF45" s="129" t="n"/>
      <c r="AG45" s="129" t="n"/>
      <c r="AH45" s="129" t="n"/>
      <c r="AI45" s="129" t="n"/>
      <c r="AJ45" s="129" t="n"/>
      <c r="AK45" s="129" t="n"/>
      <c r="AL45" s="129" t="n"/>
      <c r="AM45" s="129" t="n"/>
      <c r="AN45" s="129" t="n"/>
      <c r="AO45" s="129" t="n"/>
      <c r="AP45" s="129" t="n"/>
      <c r="AQ45" s="129" t="n"/>
      <c r="AR45" s="129" t="n"/>
      <c r="AS45" s="129" t="n"/>
      <c r="AT45" s="129" t="n"/>
      <c r="AU45" s="129" t="n"/>
      <c r="AV45" s="129" t="n"/>
    </row>
    <row r="46">
      <c r="A46" s="129" t="n"/>
      <c r="B46" s="129" t="n"/>
      <c r="C46" s="129" t="n"/>
      <c r="D46" s="129" t="n"/>
      <c r="E46" s="129" t="n"/>
      <c r="F46" s="129" t="n"/>
      <c r="G46" s="129" t="n"/>
      <c r="H46" s="129" t="n"/>
      <c r="I46" s="129" t="n"/>
      <c r="J46" s="129" t="n"/>
      <c r="K46" s="129" t="n"/>
      <c r="L46" s="129" t="n"/>
      <c r="M46" s="129" t="n"/>
      <c r="N46" s="129" t="n"/>
      <c r="O46" s="129" t="n"/>
      <c r="P46" s="129" t="n"/>
      <c r="Q46" s="129" t="n"/>
      <c r="R46" s="129" t="n"/>
      <c r="S46" s="129" t="n"/>
      <c r="T46" s="129" t="n"/>
      <c r="U46" s="129" t="n"/>
      <c r="V46" s="129" t="n"/>
      <c r="W46" s="129" t="n"/>
      <c r="X46" s="129" t="n"/>
      <c r="Y46" s="129" t="n"/>
      <c r="Z46" s="129" t="n"/>
      <c r="AA46" s="129" t="n"/>
      <c r="AB46" s="129" t="n"/>
      <c r="AC46" s="129" t="n"/>
      <c r="AD46" s="129" t="n"/>
      <c r="AE46" s="129" t="n"/>
      <c r="AF46" s="129" t="n"/>
      <c r="AG46" s="129" t="n"/>
      <c r="AH46" s="129" t="n"/>
      <c r="AI46" s="129" t="n"/>
      <c r="AJ46" s="129" t="n"/>
      <c r="AK46" s="129" t="n"/>
      <c r="AL46" s="129" t="n"/>
      <c r="AM46" s="129" t="n"/>
      <c r="AN46" s="129" t="n"/>
      <c r="AO46" s="129" t="n"/>
      <c r="AP46" s="129" t="n"/>
      <c r="AQ46" s="129" t="n"/>
      <c r="AR46" s="129" t="n"/>
      <c r="AS46" s="129" t="n"/>
      <c r="AT46" s="129" t="n"/>
      <c r="AU46" s="129" t="n"/>
      <c r="AV46" s="129" t="n"/>
    </row>
    <row r="47">
      <c r="A47" s="191" t="inlineStr">
        <is>
          <t>STEP 1 -- SCENARIO-DRIVEN SINGLE-DRIVER SENSITIVITY: FY2027 Operating Income / EPS / Cash / Free Cash Flow impact of a Base +/- Swing Size move in ONE driver, holding all other drivers at Base</t>
        </is>
      </c>
      <c r="B47" s="218" t="n"/>
      <c r="C47" s="218" t="n"/>
      <c r="D47" s="218" t="n"/>
      <c r="E47" s="218" t="n"/>
      <c r="F47" s="218" t="n"/>
      <c r="G47" s="218" t="n"/>
      <c r="H47" s="218" t="n"/>
      <c r="I47" s="218" t="n"/>
      <c r="J47" s="218" t="n"/>
      <c r="K47" s="218" t="n"/>
      <c r="L47" s="218" t="n"/>
      <c r="M47" s="218" t="n"/>
      <c r="N47" s="218" t="n"/>
      <c r="O47" s="218" t="n"/>
      <c r="P47" s="218" t="n"/>
      <c r="Q47" s="218" t="n"/>
      <c r="R47" s="218" t="n"/>
      <c r="S47" s="218" t="n"/>
      <c r="T47" s="218" t="n"/>
      <c r="U47" s="218" t="n"/>
      <c r="V47" s="218" t="n"/>
      <c r="W47" s="218" t="n"/>
      <c r="X47" s="218" t="n"/>
      <c r="Y47" s="218" t="n"/>
      <c r="Z47" s="218" t="n"/>
      <c r="AA47" s="218" t="n"/>
      <c r="AB47" s="218" t="n"/>
      <c r="AC47" s="218" t="n"/>
      <c r="AD47" s="218" t="n"/>
      <c r="AE47" s="218" t="n"/>
      <c r="AF47" s="218" t="n"/>
      <c r="AG47" s="218" t="n"/>
      <c r="AH47" s="218" t="n"/>
      <c r="AI47" s="218" t="n"/>
      <c r="AJ47" s="218" t="n"/>
      <c r="AK47" s="218" t="n"/>
      <c r="AL47" s="218" t="n"/>
      <c r="AM47" s="218" t="n"/>
      <c r="AN47" s="218" t="n"/>
      <c r="AO47" s="218" t="n"/>
      <c r="AP47" s="218" t="n"/>
      <c r="AQ47" s="218" t="n"/>
      <c r="AR47" s="218" t="n"/>
      <c r="AS47" s="218" t="n"/>
      <c r="AT47" s="218" t="n"/>
      <c r="AU47" s="218" t="n"/>
      <c r="AV47" s="219" t="n"/>
    </row>
    <row r="48" ht="55" customHeight="1">
      <c r="A48" s="154" t="inlineStr">
        <is>
          <t>Each row below is a fully self-contained shadow replica of the FY2027 AOP's annual P&amp;L and cash flow (columns D:AR), built from the fixed references and Base driver values above. Exactly ONE driver cell (columns D:K) differs from its Base value per scenario row, offset by the Swing Size input cell below -- every other driver cell is an unmodified link to its Base value. Columns W (Operating Income), Z (EPS), AL (Free Cash Flow), and AR (Cash, FY2027 Q4 ending) are the 4 KEY outputs the brief asks for (shaded gold); columns AS:AV show each row's impact vs. the Base row directly below.</t>
        </is>
      </c>
      <c r="B48" s="218" t="n"/>
      <c r="C48" s="218" t="n"/>
      <c r="D48" s="218" t="n"/>
      <c r="E48" s="218" t="n"/>
      <c r="F48" s="218" t="n"/>
      <c r="G48" s="218" t="n"/>
      <c r="H48" s="218" t="n"/>
      <c r="I48" s="218" t="n"/>
      <c r="J48" s="218" t="n"/>
      <c r="K48" s="218" t="n"/>
      <c r="L48" s="218" t="n"/>
      <c r="M48" s="218" t="n"/>
      <c r="N48" s="218" t="n"/>
      <c r="O48" s="218" t="n"/>
      <c r="P48" s="218" t="n"/>
      <c r="Q48" s="218" t="n"/>
      <c r="R48" s="218" t="n"/>
      <c r="S48" s="218" t="n"/>
      <c r="T48" s="218" t="n"/>
      <c r="U48" s="218" t="n"/>
      <c r="V48" s="218" t="n"/>
      <c r="W48" s="218" t="n"/>
      <c r="X48" s="218" t="n"/>
      <c r="Y48" s="218" t="n"/>
      <c r="Z48" s="218" t="n"/>
      <c r="AA48" s="218" t="n"/>
      <c r="AB48" s="218" t="n"/>
      <c r="AC48" s="218" t="n"/>
      <c r="AD48" s="218" t="n"/>
      <c r="AE48" s="218" t="n"/>
      <c r="AF48" s="218" t="n"/>
      <c r="AG48" s="218" t="n"/>
      <c r="AH48" s="218" t="n"/>
      <c r="AI48" s="218" t="n"/>
      <c r="AJ48" s="218" t="n"/>
      <c r="AK48" s="218" t="n"/>
      <c r="AL48" s="218" t="n"/>
      <c r="AM48" s="218" t="n"/>
      <c r="AN48" s="218" t="n"/>
      <c r="AO48" s="218" t="n"/>
      <c r="AP48" s="218" t="n"/>
      <c r="AQ48" s="218" t="n"/>
      <c r="AR48" s="218" t="n"/>
      <c r="AS48" s="218" t="n"/>
      <c r="AT48" s="218" t="n"/>
      <c r="AU48" s="218" t="n"/>
      <c r="AV48" s="219" t="n"/>
    </row>
    <row r="49">
      <c r="A49" s="164" t="inlineStr">
        <is>
          <t>SWING SIZE (percentage points, applied to every one of the 7 drivers below, +/- as noted per row) -- single editable input cell:</t>
        </is>
      </c>
      <c r="B49" s="219" t="n"/>
      <c r="C49" s="141" t="n">
        <v>0.01</v>
      </c>
      <c r="D49" s="129" t="n"/>
      <c r="E49" s="129" t="n"/>
      <c r="F49" s="129" t="n"/>
      <c r="G49" s="129" t="n"/>
      <c r="H49" s="129" t="n"/>
      <c r="I49" s="129" t="n"/>
      <c r="J49" s="129" t="n"/>
      <c r="K49" s="129" t="n"/>
      <c r="L49" s="129" t="n"/>
      <c r="M49" s="129" t="n"/>
      <c r="N49" s="129" t="n"/>
      <c r="O49" s="129" t="n"/>
      <c r="P49" s="129" t="n"/>
      <c r="Q49" s="129" t="n"/>
      <c r="R49" s="129" t="n"/>
      <c r="S49" s="129" t="n"/>
      <c r="T49" s="129" t="n"/>
      <c r="U49" s="129" t="n"/>
      <c r="V49" s="129" t="n"/>
      <c r="W49" s="129" t="n"/>
      <c r="X49" s="129" t="n"/>
      <c r="Y49" s="129" t="n"/>
      <c r="Z49" s="129" t="n"/>
      <c r="AA49" s="129" t="n"/>
      <c r="AB49" s="129" t="n"/>
      <c r="AC49" s="129" t="n"/>
      <c r="AD49" s="129" t="n"/>
      <c r="AE49" s="129" t="n"/>
      <c r="AF49" s="129" t="n"/>
      <c r="AG49" s="129" t="n"/>
      <c r="AH49" s="129" t="n"/>
      <c r="AI49" s="129" t="n"/>
      <c r="AJ49" s="129" t="n"/>
      <c r="AK49" s="129" t="n"/>
      <c r="AL49" s="129" t="n"/>
      <c r="AM49" s="129" t="n"/>
      <c r="AN49" s="129" t="n"/>
      <c r="AO49" s="129" t="n"/>
      <c r="AP49" s="129" t="n"/>
      <c r="AQ49" s="129" t="n"/>
      <c r="AR49" s="129" t="n"/>
      <c r="AS49" s="129" t="n"/>
      <c r="AT49" s="129" t="n"/>
      <c r="AU49" s="129" t="n"/>
      <c r="AV49" s="129" t="n"/>
    </row>
    <row r="50">
      <c r="A50" s="129" t="n"/>
      <c r="B50" s="129" t="n"/>
      <c r="C50" s="129" t="n"/>
      <c r="D50" s="129" t="n"/>
      <c r="E50" s="129" t="n"/>
      <c r="F50" s="129" t="n"/>
      <c r="G50" s="129" t="n"/>
      <c r="H50" s="129" t="n"/>
      <c r="I50" s="129" t="n"/>
      <c r="J50" s="129" t="n"/>
      <c r="K50" s="129" t="n"/>
      <c r="L50" s="129" t="n"/>
      <c r="M50" s="129" t="n"/>
      <c r="N50" s="129" t="n"/>
      <c r="O50" s="129" t="n"/>
      <c r="P50" s="129" t="n"/>
      <c r="Q50" s="129" t="n"/>
      <c r="R50" s="129" t="n"/>
      <c r="S50" s="129" t="n"/>
      <c r="T50" s="129" t="n"/>
      <c r="U50" s="129" t="n"/>
      <c r="V50" s="129" t="n"/>
      <c r="W50" s="129" t="n"/>
      <c r="X50" s="129" t="n"/>
      <c r="Y50" s="129" t="n"/>
      <c r="Z50" s="129" t="n"/>
      <c r="AA50" s="129" t="n"/>
      <c r="AB50" s="129" t="n"/>
      <c r="AC50" s="129" t="n"/>
      <c r="AD50" s="129" t="n"/>
      <c r="AE50" s="129" t="n"/>
      <c r="AF50" s="129" t="n"/>
      <c r="AG50" s="129" t="n"/>
      <c r="AH50" s="129" t="n"/>
      <c r="AI50" s="129" t="n"/>
      <c r="AJ50" s="129" t="n"/>
      <c r="AK50" s="129" t="n"/>
      <c r="AL50" s="129" t="n"/>
      <c r="AM50" s="129" t="n"/>
      <c r="AN50" s="129" t="n"/>
      <c r="AO50" s="129" t="n"/>
      <c r="AP50" s="129" t="n"/>
      <c r="AQ50" s="129" t="n"/>
      <c r="AR50" s="129" t="n"/>
      <c r="AS50" s="129" t="n"/>
      <c r="AT50" s="129" t="n"/>
      <c r="AU50" s="129" t="n"/>
      <c r="AV50" s="129" t="n"/>
    </row>
    <row r="51" ht="44" customHeight="1">
      <c r="A51" s="192" t="inlineStr">
        <is>
          <t>Scenario</t>
        </is>
      </c>
      <c r="B51" s="192" t="inlineStr">
        <is>
          <t>Driver Swung</t>
        </is>
      </c>
      <c r="C51" s="192" t="inlineStr">
        <is>
          <t>Swing (signed, pt)</t>
        </is>
      </c>
      <c r="D51" s="192" t="inlineStr">
        <is>
          <t>g_iPhone
(Units Growth)</t>
        </is>
      </c>
      <c r="E51" s="192" t="inlineStr">
        <is>
          <t>g_Mac
(Units Growth)</t>
        </is>
      </c>
      <c r="F51" s="192" t="inlineStr">
        <is>
          <t>g_Services
(Inst.Base Growth)</t>
        </is>
      </c>
      <c r="G51" s="192" t="inlineStr">
        <is>
          <t>FX Impact</t>
        </is>
      </c>
      <c r="H51" s="192" t="inlineStr">
        <is>
          <t>GM% Products</t>
        </is>
      </c>
      <c r="I51" s="192" t="inlineStr">
        <is>
          <t>GM% Services</t>
        </is>
      </c>
      <c r="J51" s="192" t="inlineStr">
        <is>
          <t>Buyback %
of FCF</t>
        </is>
      </c>
      <c r="K51" s="192" t="inlineStr">
        <is>
          <t>Tax Rate</t>
        </is>
      </c>
      <c r="L51" s="192" t="inlineStr">
        <is>
          <t>Rev: iPhone ($M)</t>
        </is>
      </c>
      <c r="M51" s="192" t="inlineStr">
        <is>
          <t>Rev: Mac ($M)</t>
        </is>
      </c>
      <c r="N51" s="192" t="inlineStr">
        <is>
          <t>Rev: iPad ($M)</t>
        </is>
      </c>
      <c r="O51" s="192" t="inlineStr">
        <is>
          <t>Rev: Wearables ($M)</t>
        </is>
      </c>
      <c r="P51" s="192" t="inlineStr">
        <is>
          <t>Rev: Services ($M)</t>
        </is>
      </c>
      <c r="Q51" s="192" t="inlineStr">
        <is>
          <t>Total Net Sales ($M)</t>
        </is>
      </c>
      <c r="R51" s="192" t="inlineStr">
        <is>
          <t>Products Rev ($M)</t>
        </is>
      </c>
      <c r="S51" s="192" t="inlineStr">
        <is>
          <t>Gross Margin ($M)</t>
        </is>
      </c>
      <c r="T51" s="192" t="inlineStr">
        <is>
          <t>Cost of Sales ($M)</t>
        </is>
      </c>
      <c r="U51" s="192" t="inlineStr">
        <is>
          <t>R&amp;D ($M)</t>
        </is>
      </c>
      <c r="V51" s="192" t="inlineStr">
        <is>
          <t>SG&amp;A ($M)</t>
        </is>
      </c>
      <c r="W51" s="193" t="inlineStr">
        <is>
          <t>OPERATING
INCOME ($M)</t>
        </is>
      </c>
      <c r="X51" s="192" t="inlineStr">
        <is>
          <t>Income Tax ($M)</t>
        </is>
      </c>
      <c r="Y51" s="192" t="inlineStr">
        <is>
          <t>Net Income ($M)</t>
        </is>
      </c>
      <c r="Z51" s="193" t="inlineStr">
        <is>
          <t>EPS ($/sh)</t>
        </is>
      </c>
      <c r="AA51" s="192" t="inlineStr">
        <is>
          <t>Q4 Net Sales ($M)</t>
        </is>
      </c>
      <c r="AB51" s="192" t="inlineStr">
        <is>
          <t>Q4 COGS ($M)</t>
        </is>
      </c>
      <c r="AC51" s="192" t="inlineStr">
        <is>
          <t>D&amp;A ($M)</t>
        </is>
      </c>
      <c r="AD51" s="192" t="inlineStr">
        <is>
          <t>AR, End FY27Q4 ($M)</t>
        </is>
      </c>
      <c r="AE51" s="192" t="inlineStr">
        <is>
          <t>Inventory, End FY27Q4 ($M)</t>
        </is>
      </c>
      <c r="AF51" s="192" t="inlineStr">
        <is>
          <t>AP, End FY27Q4 ($M)</t>
        </is>
      </c>
      <c r="AG51" s="192" t="inlineStr">
        <is>
          <t>Chg AR (CF sign)</t>
        </is>
      </c>
      <c r="AH51" s="192" t="inlineStr">
        <is>
          <t>Chg Inventory (CF sign)</t>
        </is>
      </c>
      <c r="AI51" s="192" t="inlineStr">
        <is>
          <t>Chg AP (CF sign)</t>
        </is>
      </c>
      <c r="AJ51" s="192" t="inlineStr">
        <is>
          <t>Operating CF ($M)</t>
        </is>
      </c>
      <c r="AK51" s="192" t="inlineStr">
        <is>
          <t>CapEx ($M)</t>
        </is>
      </c>
      <c r="AL51" s="193" t="inlineStr">
        <is>
          <t>FREE CASH
FLOW ($M)</t>
        </is>
      </c>
      <c r="AM51" s="192" t="inlineStr">
        <is>
          <t>Buyback $ ($M)</t>
        </is>
      </c>
      <c r="AN51" s="192" t="inlineStr">
        <is>
          <t>Dividend $ ($M)</t>
        </is>
      </c>
      <c r="AO51" s="192" t="inlineStr">
        <is>
          <t>Debt Roll $ ($M)</t>
        </is>
      </c>
      <c r="AP51" s="192" t="inlineStr">
        <is>
          <t>Financing CF ($M)</t>
        </is>
      </c>
      <c r="AQ51" s="192" t="inlineStr">
        <is>
          <t>Net Chg Cash ($M)</t>
        </is>
      </c>
      <c r="AR51" s="193" t="inlineStr">
        <is>
          <t>CASH, End
FY27Q4 ($M)</t>
        </is>
      </c>
      <c r="AS51" s="192" t="inlineStr">
        <is>
          <t>Delta OI
vs Base</t>
        </is>
      </c>
      <c r="AT51" s="192" t="inlineStr">
        <is>
          <t>Delta EPS
vs Base</t>
        </is>
      </c>
      <c r="AU51" s="192" t="inlineStr">
        <is>
          <t>Delta FCF
vs Base</t>
        </is>
      </c>
      <c r="AV51" s="192" t="inlineStr">
        <is>
          <t>Delta Cash
vs Base</t>
        </is>
      </c>
    </row>
    <row r="52">
      <c r="A52" s="185" t="inlineStr">
        <is>
          <t>BASE (0 swing -- ties to live model)</t>
        </is>
      </c>
      <c r="B52" s="194" t="inlineStr">
        <is>
          <t>-- (none)</t>
        </is>
      </c>
      <c r="C52" s="142">
        <f>0</f>
        <v>0</v>
      </c>
      <c r="D52" s="142">
        <f>$C$27</f>
        <v>0.015</v>
      </c>
      <c r="E52" s="142">
        <f>$C$28</f>
        <v>0.04</v>
      </c>
      <c r="F52" s="142">
        <f>$C$31</f>
        <v>0.075</v>
      </c>
      <c r="G52" s="142">
        <f>$C$32</f>
        <v>0</v>
      </c>
      <c r="H52" s="142">
        <f>$C$34</f>
        <v>0.37</v>
      </c>
      <c r="I52" s="142">
        <f>$C$35</f>
        <v>0.755</v>
      </c>
      <c r="J52" s="142">
        <f>$C$42</f>
        <v>0.9</v>
      </c>
      <c r="K52" s="142">
        <f>$C$44</f>
        <v>0.16</v>
      </c>
      <c r="L52" s="146">
        <f>$C$11*(1+D52)*(1+G52)*(1+$C$33)</f>
        <v>229158.381594757</v>
      </c>
      <c r="M52" s="146">
        <f>$C$12*(1+E52)*(1+G52)*(1+$C$33)</f>
        <v>38693.7709642344</v>
      </c>
      <c r="N52" s="146">
        <f>$C$13*(1+$C$29)*(1+G52)*(1+$C$33)</f>
        <v>30190.1059855488</v>
      </c>
      <c r="O52" s="146">
        <f>$C$14*(1+$C$30)*(1+G52)*(1+$C$33)</f>
        <v>36756.2210912452</v>
      </c>
      <c r="P52" s="146">
        <f>$C$15*(1+F52)*(1+G52)*(1+$C$33)</f>
        <v>137817.071895497</v>
      </c>
      <c r="Q52" s="146">
        <f>SUM(L52:P52)</f>
        <v>472615.551531282</v>
      </c>
      <c r="R52" s="146">
        <f>SUM(L52:O52)</f>
        <v>334798.479635786</v>
      </c>
      <c r="S52" s="146">
        <f>R52*H52+P52*I52</f>
        <v>227927.326746341</v>
      </c>
      <c r="T52" s="146">
        <f>Q52-S52</f>
        <v>244688.224784942</v>
      </c>
      <c r="U52" s="146">
        <f>Q52*$C$37</f>
        <v>39227.0907770964</v>
      </c>
      <c r="V52" s="146">
        <f>Q52*$C$36</f>
        <v>31192.6264010646</v>
      </c>
      <c r="W52" s="171">
        <f>S52-U52-V52</f>
        <v>157507.60956818</v>
      </c>
      <c r="X52" s="146">
        <f>W52*K52</f>
        <v>25201.2175309087</v>
      </c>
      <c r="Y52" s="146">
        <f>W52-X52</f>
        <v>132306.392037271</v>
      </c>
      <c r="Z52" s="173">
        <f>Y52/$C$17</f>
        <v>8.99100169027367</v>
      </c>
      <c r="AA52" s="146">
        <f>Q52*$C$16</f>
        <v>115550.532855879</v>
      </c>
      <c r="AB52" s="146">
        <f>T52*$C$16</f>
        <v>59824.2158258469</v>
      </c>
      <c r="AC52" s="146">
        <f>$C$18*Q52</f>
        <v>13841.6306806398</v>
      </c>
      <c r="AD52" s="146">
        <f>$C$38*(AA52/90)</f>
        <v>42368.5287138223</v>
      </c>
      <c r="AE52" s="146">
        <f>$C$39*(AB52/90)</f>
        <v>6647.13509176077</v>
      </c>
      <c r="AF52" s="146">
        <f>$C$40*(AB52/90)</f>
        <v>76442.0535552489</v>
      </c>
      <c r="AG52" s="146">
        <f>-(AD52-$C$20)</f>
        <v>-1292.49169628933</v>
      </c>
      <c r="AH52" s="146">
        <f>-(AE52-$C$21)</f>
        <v>-332.699954211239</v>
      </c>
      <c r="AI52" s="146">
        <f>(AF52-$C$22)</f>
        <v>3826.04947342924</v>
      </c>
      <c r="AJ52" s="146">
        <f>Y52+AC52+AG52+AH52+AI52</f>
        <v>148348.880540839</v>
      </c>
      <c r="AK52" s="146">
        <f>-$C$41*Q52</f>
        <v>-14178.4665459385</v>
      </c>
      <c r="AL52" s="171">
        <f>AJ52+AK52</f>
        <v>134170.413994901</v>
      </c>
      <c r="AM52" s="146">
        <f>-J52*AL52</f>
        <v>-120753.372595411</v>
      </c>
      <c r="AN52" s="146">
        <f>-$C$43*Y52</f>
        <v>-19845.9588055906</v>
      </c>
      <c r="AO52" s="146">
        <f>4*$C$45</f>
        <v>0</v>
      </c>
      <c r="AP52" s="146">
        <f>AM52+AN52+AO52</f>
        <v>-140599.331401001</v>
      </c>
      <c r="AQ52" s="146">
        <f>AJ52+AK52+AP52</f>
        <v>-6428.91740610055</v>
      </c>
      <c r="AR52" s="171">
        <f>$C$19+AQ52</f>
        <v>23355.6307767368</v>
      </c>
      <c r="AS52" s="146">
        <f>W52-$W$52</f>
        <v>0</v>
      </c>
      <c r="AT52" s="148">
        <f>Z52-$Z$52</f>
        <v>0</v>
      </c>
      <c r="AU52" s="146">
        <f>AL52-$AL$52</f>
        <v>0</v>
      </c>
      <c r="AV52" s="146">
        <f>AR52-$AR$52</f>
        <v>0</v>
      </c>
    </row>
    <row r="53" ht="42" customHeight="1">
      <c r="A53" s="187" t="inlineStr">
        <is>
          <t>TIE-OUT CHECK: Base row (0 swing, above) vs. the live model's ACTUAL FY2027 AOP Base-scenario output (IS!AJ49 / IS!AJ57 / CF!AJ32 / CF!AJ30) -- differences must be ~$0 / ~$0.00, confirming this shadow formula chain is algebraically identical to the real model, not merely similar.</t>
        </is>
      </c>
      <c r="B53" s="218" t="n"/>
      <c r="C53" s="218" t="n"/>
      <c r="D53" s="218" t="n"/>
      <c r="E53" s="218" t="n"/>
      <c r="F53" s="218" t="n"/>
      <c r="G53" s="218" t="n"/>
      <c r="H53" s="218" t="n"/>
      <c r="I53" s="218" t="n"/>
      <c r="J53" s="218" t="n"/>
      <c r="K53" s="218" t="n"/>
      <c r="L53" s="218" t="n"/>
      <c r="M53" s="218" t="n"/>
      <c r="N53" s="218" t="n"/>
      <c r="O53" s="218" t="n"/>
      <c r="P53" s="218" t="n"/>
      <c r="Q53" s="218" t="n"/>
      <c r="R53" s="218" t="n"/>
      <c r="S53" s="218" t="n"/>
      <c r="T53" s="218" t="n"/>
      <c r="U53" s="218" t="n"/>
      <c r="V53" s="219" t="n"/>
      <c r="W53" s="171">
        <f>W52-IS!AJ49</f>
        <v>0</v>
      </c>
      <c r="X53" s="129" t="n"/>
      <c r="Y53" s="129" t="n"/>
      <c r="Z53" s="173">
        <f>Z52-IS!AJ57</f>
        <v>1.77635683940025e-15</v>
      </c>
      <c r="AA53" s="129" t="n"/>
      <c r="AB53" s="129" t="n"/>
      <c r="AC53" s="129" t="n"/>
      <c r="AD53" s="129" t="n"/>
      <c r="AE53" s="129" t="n"/>
      <c r="AF53" s="129" t="n"/>
      <c r="AG53" s="129" t="n"/>
      <c r="AH53" s="129" t="n"/>
      <c r="AI53" s="129" t="n"/>
      <c r="AJ53" s="129" t="n"/>
      <c r="AK53" s="129" t="n"/>
      <c r="AL53" s="171">
        <f>AL52-CF!AJ32</f>
        <v>2.91038304567337e-11</v>
      </c>
      <c r="AM53" s="129" t="n"/>
      <c r="AN53" s="129" t="n"/>
      <c r="AO53" s="129" t="n"/>
      <c r="AP53" s="129" t="n"/>
      <c r="AQ53" s="129" t="n"/>
      <c r="AR53" s="171">
        <f>AR52-CF!AJ30</f>
        <v>7.27595761418343e-12</v>
      </c>
      <c r="AS53" s="185" t="inlineStr">
        <is>
          <t>Drivers!B6 currently =</t>
        </is>
      </c>
      <c r="AT53" s="219" t="n"/>
      <c r="AU53" s="195" t="str">
        <f>Drivers!B6</f>
        <v>Base</v>
      </c>
      <c r="AV53" s="196" t="inlineStr">
        <is>
          <t>(must = "Base" for this tab's Fixed Reference anchors to represent a pure Base-scenario baseline -- see row 4 scope-limit note)</t>
        </is>
      </c>
    </row>
    <row r="54">
      <c r="A54" s="127" t="inlineStr">
        <is>
          <t>iPhone Units Growth -- LOW</t>
        </is>
      </c>
      <c r="B54" s="127" t="inlineStr">
        <is>
          <t>iPhone Units Growth</t>
        </is>
      </c>
      <c r="C54" s="142">
        <f>-$C$49</f>
        <v>-0.01</v>
      </c>
      <c r="D54" s="142">
        <f>$C$27+C54</f>
        <v>0.005</v>
      </c>
      <c r="E54" s="142">
        <f>$C$28</f>
        <v>0.04</v>
      </c>
      <c r="F54" s="142">
        <f>$C$31</f>
        <v>0.075</v>
      </c>
      <c r="G54" s="142">
        <f>$C$32</f>
        <v>0</v>
      </c>
      <c r="H54" s="142">
        <f>$C$34</f>
        <v>0.37</v>
      </c>
      <c r="I54" s="142">
        <f>$C$35</f>
        <v>0.755</v>
      </c>
      <c r="J54" s="142">
        <f>$C$42</f>
        <v>0.9</v>
      </c>
      <c r="K54" s="142">
        <f>$C$44</f>
        <v>0.16</v>
      </c>
      <c r="L54" s="146">
        <f>$C$11*(1+D54)*(1+G54)*(1+$C$33)</f>
        <v>226900.663549489</v>
      </c>
      <c r="M54" s="146">
        <f>$C$12*(1+E54)*(1+G54)*(1+$C$33)</f>
        <v>38693.7709642344</v>
      </c>
      <c r="N54" s="146">
        <f>$C$13*(1+$C$29)*(1+G54)*(1+$C$33)</f>
        <v>30190.1059855488</v>
      </c>
      <c r="O54" s="146">
        <f>$C$14*(1+$C$30)*(1+G54)*(1+$C$33)</f>
        <v>36756.2210912452</v>
      </c>
      <c r="P54" s="146">
        <f>$C$15*(1+F54)*(1+G54)*(1+$C$33)</f>
        <v>137817.071895497</v>
      </c>
      <c r="Q54" s="146">
        <f>SUM(L54:P54)</f>
        <v>470357.833486014</v>
      </c>
      <c r="R54" s="146">
        <f>SUM(L54:O54)</f>
        <v>332540.761590517</v>
      </c>
      <c r="S54" s="146">
        <f>R54*H54+P54*I54</f>
        <v>227091.971069591</v>
      </c>
      <c r="T54" s="146">
        <f>Q54-S54</f>
        <v>243265.862416422</v>
      </c>
      <c r="U54" s="146">
        <f>Q54*$C$37</f>
        <v>39039.7001793392</v>
      </c>
      <c r="V54" s="146">
        <f>Q54*$C$36</f>
        <v>31043.6170100769</v>
      </c>
      <c r="W54" s="171">
        <f>S54-U54-V54</f>
        <v>157008.653880175</v>
      </c>
      <c r="X54" s="146">
        <f>W54*K54</f>
        <v>25121.3846208281</v>
      </c>
      <c r="Y54" s="146">
        <f>W54-X54</f>
        <v>131887.269259347</v>
      </c>
      <c r="Z54" s="173">
        <f>Y54/$C$17</f>
        <v>8.96251981916586</v>
      </c>
      <c r="AA54" s="146">
        <f>Q54*$C$16</f>
        <v>114998.539756363</v>
      </c>
      <c r="AB54" s="146">
        <f>T54*$C$16</f>
        <v>59476.460173152</v>
      </c>
      <c r="AC54" s="146">
        <f>$C$18*Q54</f>
        <v>13775.5082281255</v>
      </c>
      <c r="AD54" s="146">
        <f>$C$38*(AA54/90)</f>
        <v>42166.1312439999</v>
      </c>
      <c r="AE54" s="146">
        <f>$C$39*(AB54/90)</f>
        <v>6608.49557479467</v>
      </c>
      <c r="AF54" s="146">
        <f>$C$40*(AB54/90)</f>
        <v>75997.6991101387</v>
      </c>
      <c r="AG54" s="146">
        <f>-(AD54-$C$20)</f>
        <v>-1090.09422646688</v>
      </c>
      <c r="AH54" s="146">
        <f>-(AE54-$C$21)</f>
        <v>-294.060437245133</v>
      </c>
      <c r="AI54" s="146">
        <f>(AF54-$C$22)</f>
        <v>3381.69502831904</v>
      </c>
      <c r="AJ54" s="146">
        <f>Y54+AC54+AG54+AH54+AI54</f>
        <v>147660.31785208</v>
      </c>
      <c r="AK54" s="146">
        <f>-$C$41*Q54</f>
        <v>-14110.7350045804</v>
      </c>
      <c r="AL54" s="171">
        <f>AJ54+AK54</f>
        <v>133549.582847499</v>
      </c>
      <c r="AM54" s="146">
        <f>-J54*AL54</f>
        <v>-120194.624562749</v>
      </c>
      <c r="AN54" s="146">
        <f>-$C$43*Y54</f>
        <v>-19783.0903889021</v>
      </c>
      <c r="AO54" s="146">
        <f>4*$C$45</f>
        <v>0</v>
      </c>
      <c r="AP54" s="146">
        <f>AM54+AN54+AO54</f>
        <v>-139977.714951652</v>
      </c>
      <c r="AQ54" s="146">
        <f>AJ54+AK54+AP54</f>
        <v>-6428.13210415214</v>
      </c>
      <c r="AR54" s="171">
        <f>$C$19+AQ54</f>
        <v>23356.4160786852</v>
      </c>
      <c r="AS54" s="146">
        <f>W54-$W$52</f>
        <v>-498.955688004324</v>
      </c>
      <c r="AT54" s="148">
        <f>Z54-$Z$52</f>
        <v>-0.0284818711078021</v>
      </c>
      <c r="AU54" s="146">
        <f>AL54-$AL$52</f>
        <v>-620.831147401448</v>
      </c>
      <c r="AV54" s="146">
        <f>AR54-$AR$52</f>
        <v>0.785301948402775</v>
      </c>
    </row>
    <row r="55">
      <c r="A55" s="127" t="inlineStr">
        <is>
          <t>iPhone Units Growth -- HIGH</t>
        </is>
      </c>
      <c r="B55" s="127" t="inlineStr">
        <is>
          <t>iPhone Units Growth</t>
        </is>
      </c>
      <c r="C55" s="142">
        <f>$C$49</f>
        <v>0.01</v>
      </c>
      <c r="D55" s="142">
        <f>$C$27+C55</f>
        <v>0.025</v>
      </c>
      <c r="E55" s="142">
        <f>$C$28</f>
        <v>0.04</v>
      </c>
      <c r="F55" s="142">
        <f>$C$31</f>
        <v>0.075</v>
      </c>
      <c r="G55" s="142">
        <f>$C$32</f>
        <v>0</v>
      </c>
      <c r="H55" s="142">
        <f>$C$34</f>
        <v>0.37</v>
      </c>
      <c r="I55" s="142">
        <f>$C$35</f>
        <v>0.755</v>
      </c>
      <c r="J55" s="142">
        <f>$C$42</f>
        <v>0.9</v>
      </c>
      <c r="K55" s="142">
        <f>$C$44</f>
        <v>0.16</v>
      </c>
      <c r="L55" s="146">
        <f>$C$11*(1+D55)*(1+G55)*(1+$C$33)</f>
        <v>231416.099640026</v>
      </c>
      <c r="M55" s="146">
        <f>$C$12*(1+E55)*(1+G55)*(1+$C$33)</f>
        <v>38693.7709642344</v>
      </c>
      <c r="N55" s="146">
        <f>$C$13*(1+$C$29)*(1+G55)*(1+$C$33)</f>
        <v>30190.1059855488</v>
      </c>
      <c r="O55" s="146">
        <f>$C$14*(1+$C$30)*(1+G55)*(1+$C$33)</f>
        <v>36756.2210912452</v>
      </c>
      <c r="P55" s="146">
        <f>$C$15*(1+F55)*(1+G55)*(1+$C$33)</f>
        <v>137817.071895497</v>
      </c>
      <c r="Q55" s="146">
        <f>SUM(L55:P55)</f>
        <v>474873.269576551</v>
      </c>
      <c r="R55" s="146">
        <f>SUM(L55:O55)</f>
        <v>337056.197681054</v>
      </c>
      <c r="S55" s="146">
        <f>R55*H55+P55*I55</f>
        <v>228762.68242309</v>
      </c>
      <c r="T55" s="146">
        <f>Q55-S55</f>
        <v>246110.587153461</v>
      </c>
      <c r="U55" s="146">
        <f>Q55*$C$37</f>
        <v>39414.4813748537</v>
      </c>
      <c r="V55" s="146">
        <f>Q55*$C$36</f>
        <v>31341.6357920524</v>
      </c>
      <c r="W55" s="171">
        <f>S55-U55-V55</f>
        <v>158006.565256184</v>
      </c>
      <c r="X55" s="146">
        <f>W55*K55</f>
        <v>25281.0504409894</v>
      </c>
      <c r="Y55" s="146">
        <f>W55-X55</f>
        <v>132725.514815195</v>
      </c>
      <c r="Z55" s="173">
        <f>Y55/$C$17</f>
        <v>9.01948356138147</v>
      </c>
      <c r="AA55" s="146">
        <f>Q55*$C$16</f>
        <v>116102.525955395</v>
      </c>
      <c r="AB55" s="146">
        <f>T55*$C$16</f>
        <v>60171.9714785419</v>
      </c>
      <c r="AC55" s="146">
        <f>$C$18*Q55</f>
        <v>13907.753133154</v>
      </c>
      <c r="AD55" s="146">
        <f>$C$38*(AA55/90)</f>
        <v>42570.9261836448</v>
      </c>
      <c r="AE55" s="146">
        <f>$C$39*(AB55/90)</f>
        <v>6685.77460872688</v>
      </c>
      <c r="AF55" s="146">
        <f>$C$40*(AB55/90)</f>
        <v>76886.4080003591</v>
      </c>
      <c r="AG55" s="146">
        <f>-(AD55-$C$20)</f>
        <v>-1494.88916611178</v>
      </c>
      <c r="AH55" s="146">
        <f>-(AE55-$C$21)</f>
        <v>-371.339471177342</v>
      </c>
      <c r="AI55" s="146">
        <f>(AF55-$C$22)</f>
        <v>4270.40391853944</v>
      </c>
      <c r="AJ55" s="146">
        <f>Y55+AC55+AG55+AH55+AI55</f>
        <v>149037.443229599</v>
      </c>
      <c r="AK55" s="146">
        <f>-$C$41*Q55</f>
        <v>-14246.1980872965</v>
      </c>
      <c r="AL55" s="171">
        <f>AJ55+AK55</f>
        <v>134791.245142302</v>
      </c>
      <c r="AM55" s="146">
        <f>-J55*AL55</f>
        <v>-121312.120628072</v>
      </c>
      <c r="AN55" s="146">
        <f>-$C$43*Y55</f>
        <v>-19908.8272222792</v>
      </c>
      <c r="AO55" s="146">
        <f>4*$C$45</f>
        <v>0</v>
      </c>
      <c r="AP55" s="146">
        <f>AM55+AN55+AO55</f>
        <v>-141220.947850351</v>
      </c>
      <c r="AQ55" s="146">
        <f>AJ55+AK55+AP55</f>
        <v>-6429.70270804895</v>
      </c>
      <c r="AR55" s="171">
        <f>$C$19+AQ55</f>
        <v>23354.8454747884</v>
      </c>
      <c r="AS55" s="146">
        <f>W55-$W$52</f>
        <v>498.955688004353</v>
      </c>
      <c r="AT55" s="148">
        <f>Z55-$Z$52</f>
        <v>0.0284818711078003</v>
      </c>
      <c r="AU55" s="146">
        <f>AL55-$AL$52</f>
        <v>620.831147401477</v>
      </c>
      <c r="AV55" s="146">
        <f>AR55-$AR$52</f>
        <v>-0.785301948402775</v>
      </c>
    </row>
    <row r="56">
      <c r="A56" s="127" t="inlineStr">
        <is>
          <t>Mac Units Growth -- LOW</t>
        </is>
      </c>
      <c r="B56" s="127" t="inlineStr">
        <is>
          <t>Mac Units Growth</t>
        </is>
      </c>
      <c r="C56" s="142">
        <f>-$C$49</f>
        <v>-0.01</v>
      </c>
      <c r="D56" s="142">
        <f>$C$27</f>
        <v>0.015</v>
      </c>
      <c r="E56" s="142">
        <f>$C$28+C56</f>
        <v>0.03</v>
      </c>
      <c r="F56" s="142">
        <f>$C$31</f>
        <v>0.075</v>
      </c>
      <c r="G56" s="142">
        <f>$C$32</f>
        <v>0</v>
      </c>
      <c r="H56" s="142">
        <f>$C$34</f>
        <v>0.37</v>
      </c>
      <c r="I56" s="142">
        <f>$C$35</f>
        <v>0.755</v>
      </c>
      <c r="J56" s="142">
        <f>$C$42</f>
        <v>0.9</v>
      </c>
      <c r="K56" s="142">
        <f>$C$44</f>
        <v>0.16</v>
      </c>
      <c r="L56" s="146">
        <f>$C$11*(1+D56)*(1+G56)*(1+$C$33)</f>
        <v>229158.381594757</v>
      </c>
      <c r="M56" s="146">
        <f>$C$12*(1+E56)*(1+G56)*(1+$C$33)</f>
        <v>38321.7154741937</v>
      </c>
      <c r="N56" s="146">
        <f>$C$13*(1+$C$29)*(1+G56)*(1+$C$33)</f>
        <v>30190.1059855488</v>
      </c>
      <c r="O56" s="146">
        <f>$C$14*(1+$C$30)*(1+G56)*(1+$C$33)</f>
        <v>36756.2210912452</v>
      </c>
      <c r="P56" s="146">
        <f>$C$15*(1+F56)*(1+G56)*(1+$C$33)</f>
        <v>137817.071895497</v>
      </c>
      <c r="Q56" s="146">
        <f>SUM(L56:P56)</f>
        <v>472243.496041242</v>
      </c>
      <c r="R56" s="146">
        <f>SUM(L56:O56)</f>
        <v>334426.424145745</v>
      </c>
      <c r="S56" s="146">
        <f>R56*H56+P56*I56</f>
        <v>227789.666215026</v>
      </c>
      <c r="T56" s="146">
        <f>Q56-S56</f>
        <v>244453.829826216</v>
      </c>
      <c r="U56" s="146">
        <f>Q56*$C$37</f>
        <v>39196.2101714231</v>
      </c>
      <c r="V56" s="146">
        <f>Q56*$C$36</f>
        <v>31168.070738722</v>
      </c>
      <c r="W56" s="171">
        <f>S56-U56-V56</f>
        <v>157425.385304881</v>
      </c>
      <c r="X56" s="146">
        <f>W56*K56</f>
        <v>25188.0616487809</v>
      </c>
      <c r="Y56" s="146">
        <f>W56-X56</f>
        <v>132237.3236561</v>
      </c>
      <c r="Z56" s="173">
        <f>Y56/$C$17</f>
        <v>8.9863080853594</v>
      </c>
      <c r="AA56" s="146">
        <f>Q56*$C$16</f>
        <v>115459.568413455</v>
      </c>
      <c r="AB56" s="146">
        <f>T56*$C$16</f>
        <v>59766.9082271196</v>
      </c>
      <c r="AC56" s="146">
        <f>$C$18*Q56</f>
        <v>13830.7341820604</v>
      </c>
      <c r="AD56" s="146">
        <f>$C$38*(AA56/90)</f>
        <v>42335.1750849334</v>
      </c>
      <c r="AE56" s="146">
        <f>$C$39*(AB56/90)</f>
        <v>6640.76758079106</v>
      </c>
      <c r="AF56" s="146">
        <f>$C$40*(AB56/90)</f>
        <v>76368.8271790972</v>
      </c>
      <c r="AG56" s="146">
        <f>-(AD56-$C$20)</f>
        <v>-1259.13806740037</v>
      </c>
      <c r="AH56" s="146">
        <f>-(AE56-$C$21)</f>
        <v>-326.332443241527</v>
      </c>
      <c r="AI56" s="146">
        <f>(AF56-$C$22)</f>
        <v>3752.82309727756</v>
      </c>
      <c r="AJ56" s="146">
        <f>Y56+AC56+AG56+AH56+AI56</f>
        <v>148235.410424796</v>
      </c>
      <c r="AK56" s="146">
        <f>-$C$41*Q56</f>
        <v>-14167.3048812373</v>
      </c>
      <c r="AL56" s="171">
        <f>AJ56+AK56</f>
        <v>134068.105543559</v>
      </c>
      <c r="AM56" s="146">
        <f>-J56*AL56</f>
        <v>-120661.294989203</v>
      </c>
      <c r="AN56" s="146">
        <f>-$C$43*Y56</f>
        <v>-19835.598548415</v>
      </c>
      <c r="AO56" s="146">
        <f>4*$C$45</f>
        <v>0</v>
      </c>
      <c r="AP56" s="146">
        <f>AM56+AN56+AO56</f>
        <v>-140496.893537618</v>
      </c>
      <c r="AQ56" s="146">
        <f>AJ56+AK56+AP56</f>
        <v>-6428.78799405912</v>
      </c>
      <c r="AR56" s="171">
        <f>$C$19+AQ56</f>
        <v>23355.7601887782</v>
      </c>
      <c r="AS56" s="146">
        <f>W56-$W$52</f>
        <v>-82.2242632990237</v>
      </c>
      <c r="AT56" s="148">
        <f>Z56-$Z$52</f>
        <v>-0.00469360491426407</v>
      </c>
      <c r="AU56" s="146">
        <f>AL56-$AL$52</f>
        <v>-102.30845134228</v>
      </c>
      <c r="AV56" s="146">
        <f>AR56-$AR$52</f>
        <v>0.129412041424075</v>
      </c>
    </row>
    <row r="57">
      <c r="A57" s="127" t="inlineStr">
        <is>
          <t>Mac Units Growth -- HIGH</t>
        </is>
      </c>
      <c r="B57" s="127" t="inlineStr">
        <is>
          <t>Mac Units Growth</t>
        </is>
      </c>
      <c r="C57" s="142">
        <f>$C$49</f>
        <v>0.01</v>
      </c>
      <c r="D57" s="142">
        <f>$C$27</f>
        <v>0.015</v>
      </c>
      <c r="E57" s="142">
        <f>$C$28+C57</f>
        <v>0.05</v>
      </c>
      <c r="F57" s="142">
        <f>$C$31</f>
        <v>0.075</v>
      </c>
      <c r="G57" s="142">
        <f>$C$32</f>
        <v>0</v>
      </c>
      <c r="H57" s="142">
        <f>$C$34</f>
        <v>0.37</v>
      </c>
      <c r="I57" s="142">
        <f>$C$35</f>
        <v>0.755</v>
      </c>
      <c r="J57" s="142">
        <f>$C$42</f>
        <v>0.9</v>
      </c>
      <c r="K57" s="142">
        <f>$C$44</f>
        <v>0.16</v>
      </c>
      <c r="L57" s="146">
        <f>$C$11*(1+D57)*(1+G57)*(1+$C$33)</f>
        <v>229158.381594757</v>
      </c>
      <c r="M57" s="146">
        <f>$C$12*(1+E57)*(1+G57)*(1+$C$33)</f>
        <v>39065.8264542751</v>
      </c>
      <c r="N57" s="146">
        <f>$C$13*(1+$C$29)*(1+G57)*(1+$C$33)</f>
        <v>30190.1059855488</v>
      </c>
      <c r="O57" s="146">
        <f>$C$14*(1+$C$30)*(1+G57)*(1+$C$33)</f>
        <v>36756.2210912452</v>
      </c>
      <c r="P57" s="146">
        <f>$C$15*(1+F57)*(1+G57)*(1+$C$33)</f>
        <v>137817.071895497</v>
      </c>
      <c r="Q57" s="146">
        <f>SUM(L57:P57)</f>
        <v>472987.607021323</v>
      </c>
      <c r="R57" s="146">
        <f>SUM(L57:O57)</f>
        <v>335170.535125826</v>
      </c>
      <c r="S57" s="146">
        <f>R57*H57+P57*I57</f>
        <v>228064.987277656</v>
      </c>
      <c r="T57" s="146">
        <f>Q57-S57</f>
        <v>244922.619743667</v>
      </c>
      <c r="U57" s="146">
        <f>Q57*$C$37</f>
        <v>39257.9713827698</v>
      </c>
      <c r="V57" s="146">
        <f>Q57*$C$36</f>
        <v>31217.1820634073</v>
      </c>
      <c r="W57" s="171">
        <f>S57-U57-V57</f>
        <v>157589.833831479</v>
      </c>
      <c r="X57" s="146">
        <f>W57*K57</f>
        <v>25214.3734130366</v>
      </c>
      <c r="Y57" s="146">
        <f>W57-X57</f>
        <v>132375.460418442</v>
      </c>
      <c r="Z57" s="173">
        <f>Y57/$C$17</f>
        <v>8.99569529518793</v>
      </c>
      <c r="AA57" s="146">
        <f>Q57*$C$16</f>
        <v>115641.497298303</v>
      </c>
      <c r="AB57" s="146">
        <f>T57*$C$16</f>
        <v>59881.5234245743</v>
      </c>
      <c r="AC57" s="146">
        <f>$C$18*Q57</f>
        <v>13852.5271792191</v>
      </c>
      <c r="AD57" s="146">
        <f>$C$38*(AA57/90)</f>
        <v>42401.8823427113</v>
      </c>
      <c r="AE57" s="146">
        <f>$C$39*(AB57/90)</f>
        <v>6653.50260273048</v>
      </c>
      <c r="AF57" s="146">
        <f>$C$40*(AB57/90)</f>
        <v>76515.2799314005</v>
      </c>
      <c r="AG57" s="146">
        <f>-(AD57-$C$20)</f>
        <v>-1325.84532517828</v>
      </c>
      <c r="AH57" s="146">
        <f>-(AE57-$C$21)</f>
        <v>-339.067465180949</v>
      </c>
      <c r="AI57" s="146">
        <f>(AF57-$C$22)</f>
        <v>3899.27584958091</v>
      </c>
      <c r="AJ57" s="146">
        <f>Y57+AC57+AG57+AH57+AI57</f>
        <v>148462.350656883</v>
      </c>
      <c r="AK57" s="146">
        <f>-$C$41*Q57</f>
        <v>-14189.6282106397</v>
      </c>
      <c r="AL57" s="171">
        <f>AJ57+AK57</f>
        <v>134272.722446243</v>
      </c>
      <c r="AM57" s="146">
        <f>-J57*AL57</f>
        <v>-120845.450201619</v>
      </c>
      <c r="AN57" s="146">
        <f>-$C$43*Y57</f>
        <v>-19856.3190627663</v>
      </c>
      <c r="AO57" s="146">
        <f>4*$C$45</f>
        <v>0</v>
      </c>
      <c r="AP57" s="146">
        <f>AM57+AN57+AO57</f>
        <v>-140701.769264385</v>
      </c>
      <c r="AQ57" s="146">
        <f>AJ57+AK57+AP57</f>
        <v>-6429.046818142</v>
      </c>
      <c r="AR57" s="171">
        <f>$C$19+AQ57</f>
        <v>23355.5013646953</v>
      </c>
      <c r="AS57" s="146">
        <f>W57-$W$52</f>
        <v>82.2242632990237</v>
      </c>
      <c r="AT57" s="148">
        <f>Z57-$Z$52</f>
        <v>0.00469360491426229</v>
      </c>
      <c r="AU57" s="146">
        <f>AL57-$AL$52</f>
        <v>102.308451342367</v>
      </c>
      <c r="AV57" s="146">
        <f>AR57-$AR$52</f>
        <v>-0.129412041453179</v>
      </c>
    </row>
    <row r="58">
      <c r="A58" s="127" t="inlineStr">
        <is>
          <t>Services Installed-Base Growth -- LOW</t>
        </is>
      </c>
      <c r="B58" s="127" t="inlineStr">
        <is>
          <t>Services Installed-Base Growth</t>
        </is>
      </c>
      <c r="C58" s="142">
        <f>-$C$49</f>
        <v>-0.01</v>
      </c>
      <c r="D58" s="142">
        <f>$C$27</f>
        <v>0.015</v>
      </c>
      <c r="E58" s="142">
        <f>$C$28</f>
        <v>0.04</v>
      </c>
      <c r="F58" s="142">
        <f>$C$31+C58</f>
        <v>0.065</v>
      </c>
      <c r="G58" s="142">
        <f>$C$32</f>
        <v>0</v>
      </c>
      <c r="H58" s="142">
        <f>$C$34</f>
        <v>0.37</v>
      </c>
      <c r="I58" s="142">
        <f>$C$35</f>
        <v>0.755</v>
      </c>
      <c r="J58" s="142">
        <f>$C$42</f>
        <v>0.9</v>
      </c>
      <c r="K58" s="142">
        <f>$C$44</f>
        <v>0.16</v>
      </c>
      <c r="L58" s="146">
        <f>$C$11*(1+D58)*(1+G58)*(1+$C$33)</f>
        <v>229158.381594757</v>
      </c>
      <c r="M58" s="146">
        <f>$C$12*(1+E58)*(1+G58)*(1+$C$33)</f>
        <v>38693.7709642344</v>
      </c>
      <c r="N58" s="146">
        <f>$C$13*(1+$C$29)*(1+G58)*(1+$C$33)</f>
        <v>30190.1059855488</v>
      </c>
      <c r="O58" s="146">
        <f>$C$14*(1+$C$30)*(1+G58)*(1+$C$33)</f>
        <v>36756.2210912452</v>
      </c>
      <c r="P58" s="146">
        <f>$C$15*(1+F58)*(1+G58)*(1+$C$33)</f>
        <v>136535.05262205</v>
      </c>
      <c r="Q58" s="146">
        <f>SUM(L58:P58)</f>
        <v>471333.532257836</v>
      </c>
      <c r="R58" s="146">
        <f>SUM(L58:O58)</f>
        <v>334798.479635786</v>
      </c>
      <c r="S58" s="146">
        <f>R58*H58+P58*I58</f>
        <v>226959.402194889</v>
      </c>
      <c r="T58" s="146">
        <f>Q58-S58</f>
        <v>244374.130062947</v>
      </c>
      <c r="U58" s="146">
        <f>Q58*$C$37</f>
        <v>39120.6831774004</v>
      </c>
      <c r="V58" s="146">
        <f>Q58*$C$36</f>
        <v>31108.0131290172</v>
      </c>
      <c r="W58" s="171">
        <f>S58-U58-V58</f>
        <v>156730.705888471</v>
      </c>
      <c r="X58" s="146">
        <f>W58*K58</f>
        <v>25076.9129421554</v>
      </c>
      <c r="Y58" s="146">
        <f>W58-X58</f>
        <v>131653.792946316</v>
      </c>
      <c r="Z58" s="173">
        <f>Y58/$C$17</f>
        <v>8.94665372310821</v>
      </c>
      <c r="AA58" s="146">
        <f>Q58*$C$16</f>
        <v>115237.089911189</v>
      </c>
      <c r="AB58" s="146">
        <f>T58*$C$16</f>
        <v>59747.4223043979</v>
      </c>
      <c r="AC58" s="146">
        <f>$C$18*Q58</f>
        <v>13804.083805064</v>
      </c>
      <c r="AD58" s="146">
        <f>$C$38*(AA58/90)</f>
        <v>42253.5996341027</v>
      </c>
      <c r="AE58" s="146">
        <f>$C$39*(AB58/90)</f>
        <v>6638.60247826643</v>
      </c>
      <c r="AF58" s="146">
        <f>$C$40*(AB58/90)</f>
        <v>76343.928500064</v>
      </c>
      <c r="AG58" s="146">
        <f>-(AD58-$C$20)</f>
        <v>-1177.56261656967</v>
      </c>
      <c r="AH58" s="146">
        <f>-(AE58-$C$21)</f>
        <v>-324.167340716901</v>
      </c>
      <c r="AI58" s="146">
        <f>(AF58-$C$22)</f>
        <v>3727.92441824437</v>
      </c>
      <c r="AJ58" s="146">
        <f>Y58+AC58+AG58+AH58+AI58</f>
        <v>147684.071212338</v>
      </c>
      <c r="AK58" s="146">
        <f>-$C$41*Q58</f>
        <v>-14140.0059677351</v>
      </c>
      <c r="AL58" s="171">
        <f>AJ58+AK58</f>
        <v>133544.065244602</v>
      </c>
      <c r="AM58" s="146">
        <f>-J58*AL58</f>
        <v>-120189.658720142</v>
      </c>
      <c r="AN58" s="146">
        <f>-$C$43*Y58</f>
        <v>-19748.0689419474</v>
      </c>
      <c r="AO58" s="146">
        <f>4*$C$45</f>
        <v>0</v>
      </c>
      <c r="AP58" s="146">
        <f>AM58+AN58+AO58</f>
        <v>-139937.72766209</v>
      </c>
      <c r="AQ58" s="146">
        <f>AJ58+AK58+AP58</f>
        <v>-6393.66241748712</v>
      </c>
      <c r="AR58" s="171">
        <f>$C$19+AQ58</f>
        <v>23390.8857653502</v>
      </c>
      <c r="AS58" s="146">
        <f>W58-$W$52</f>
        <v>-776.903679708572</v>
      </c>
      <c r="AT58" s="148">
        <f>Z58-$Z$52</f>
        <v>-0.0443479671654607</v>
      </c>
      <c r="AU58" s="146">
        <f>AL58-$AL$52</f>
        <v>-626.348750298406</v>
      </c>
      <c r="AV58" s="146">
        <f>AR58-$AR$52</f>
        <v>35.254988613422</v>
      </c>
    </row>
    <row r="59">
      <c r="A59" s="127" t="inlineStr">
        <is>
          <t>Services Installed-Base Growth -- HIGH</t>
        </is>
      </c>
      <c r="B59" s="127" t="inlineStr">
        <is>
          <t>Services Installed-Base Growth</t>
        </is>
      </c>
      <c r="C59" s="142">
        <f>$C$49</f>
        <v>0.01</v>
      </c>
      <c r="D59" s="142">
        <f>$C$27</f>
        <v>0.015</v>
      </c>
      <c r="E59" s="142">
        <f>$C$28</f>
        <v>0.04</v>
      </c>
      <c r="F59" s="142">
        <f>$C$31+C59</f>
        <v>0.085</v>
      </c>
      <c r="G59" s="142">
        <f>$C$32</f>
        <v>0</v>
      </c>
      <c r="H59" s="142">
        <f>$C$34</f>
        <v>0.37</v>
      </c>
      <c r="I59" s="142">
        <f>$C$35</f>
        <v>0.755</v>
      </c>
      <c r="J59" s="142">
        <f>$C$42</f>
        <v>0.9</v>
      </c>
      <c r="K59" s="142">
        <f>$C$44</f>
        <v>0.16</v>
      </c>
      <c r="L59" s="146">
        <f>$C$11*(1+D59)*(1+G59)*(1+$C$33)</f>
        <v>229158.381594757</v>
      </c>
      <c r="M59" s="146">
        <f>$C$12*(1+E59)*(1+G59)*(1+$C$33)</f>
        <v>38693.7709642344</v>
      </c>
      <c r="N59" s="146">
        <f>$C$13*(1+$C$29)*(1+G59)*(1+$C$33)</f>
        <v>30190.1059855488</v>
      </c>
      <c r="O59" s="146">
        <f>$C$14*(1+$C$30)*(1+G59)*(1+$C$33)</f>
        <v>36756.2210912452</v>
      </c>
      <c r="P59" s="146">
        <f>$C$15*(1+F59)*(1+G59)*(1+$C$33)</f>
        <v>139099.091168943</v>
      </c>
      <c r="Q59" s="146">
        <f>SUM(L59:P59)</f>
        <v>473897.570804729</v>
      </c>
      <c r="R59" s="146">
        <f>SUM(L59:O59)</f>
        <v>334798.479635786</v>
      </c>
      <c r="S59" s="146">
        <f>R59*H59+P59*I59</f>
        <v>228895.251297793</v>
      </c>
      <c r="T59" s="146">
        <f>Q59-S59</f>
        <v>245002.319506936</v>
      </c>
      <c r="U59" s="146">
        <f>Q59*$C$37</f>
        <v>39333.4983767925</v>
      </c>
      <c r="V59" s="146">
        <f>Q59*$C$36</f>
        <v>31277.2396731121</v>
      </c>
      <c r="W59" s="171">
        <f>S59-U59-V59</f>
        <v>158284.513247888</v>
      </c>
      <c r="X59" s="146">
        <f>W59*K59</f>
        <v>25325.5221196621</v>
      </c>
      <c r="Y59" s="146">
        <f>W59-X59</f>
        <v>132958.991128226</v>
      </c>
      <c r="Z59" s="173">
        <f>Y59/$C$17</f>
        <v>9.03534965743913</v>
      </c>
      <c r="AA59" s="146">
        <f>Q59*$C$16</f>
        <v>115863.975800569</v>
      </c>
      <c r="AB59" s="146">
        <f>T59*$C$16</f>
        <v>59901.009347296</v>
      </c>
      <c r="AC59" s="146">
        <f>$C$18*Q59</f>
        <v>13879.1775562155</v>
      </c>
      <c r="AD59" s="146">
        <f>$C$38*(AA59/90)</f>
        <v>42483.457793542</v>
      </c>
      <c r="AE59" s="146">
        <f>$C$39*(AB59/90)</f>
        <v>6655.66770525511</v>
      </c>
      <c r="AF59" s="146">
        <f>$C$40*(AB59/90)</f>
        <v>76540.1786104338</v>
      </c>
      <c r="AG59" s="146">
        <f>-(AD59-$C$20)</f>
        <v>-1407.42077600899</v>
      </c>
      <c r="AH59" s="146">
        <f>-(AE59-$C$21)</f>
        <v>-341.232567705577</v>
      </c>
      <c r="AI59" s="146">
        <f>(AF59-$C$22)</f>
        <v>3924.17452861414</v>
      </c>
      <c r="AJ59" s="146">
        <f>Y59+AC59+AG59+AH59+AI59</f>
        <v>149013.689869341</v>
      </c>
      <c r="AK59" s="146">
        <f>-$C$41*Q59</f>
        <v>-14216.9271241419</v>
      </c>
      <c r="AL59" s="171">
        <f>AJ59+AK59</f>
        <v>134796.762745199</v>
      </c>
      <c r="AM59" s="146">
        <f>-J59*AL59</f>
        <v>-121317.086470679</v>
      </c>
      <c r="AN59" s="146">
        <f>-$C$43*Y59</f>
        <v>-19943.8486692339</v>
      </c>
      <c r="AO59" s="146">
        <f>4*$C$45</f>
        <v>0</v>
      </c>
      <c r="AP59" s="146">
        <f>AM59+AN59+AO59</f>
        <v>-141260.935139913</v>
      </c>
      <c r="AQ59" s="146">
        <f>AJ59+AK59+AP59</f>
        <v>-6464.17239471397</v>
      </c>
      <c r="AR59" s="171">
        <f>$C$19+AQ59</f>
        <v>23320.3757881233</v>
      </c>
      <c r="AS59" s="146">
        <f>W59-$W$52</f>
        <v>776.903679708572</v>
      </c>
      <c r="AT59" s="148">
        <f>Z59-$Z$52</f>
        <v>0.044347967165459</v>
      </c>
      <c r="AU59" s="146">
        <f>AL59-$AL$52</f>
        <v>626.348750298494</v>
      </c>
      <c r="AV59" s="146">
        <f>AR59-$AR$52</f>
        <v>-35.254988613422</v>
      </c>
    </row>
    <row r="60">
      <c r="A60" s="127" t="inlineStr">
        <is>
          <t>FX Impact -- LOW</t>
        </is>
      </c>
      <c r="B60" s="127" t="inlineStr">
        <is>
          <t>FX Impact</t>
        </is>
      </c>
      <c r="C60" s="142">
        <f>-$C$49</f>
        <v>-0.01</v>
      </c>
      <c r="D60" s="142">
        <f>$C$27</f>
        <v>0.015</v>
      </c>
      <c r="E60" s="142">
        <f>$C$28</f>
        <v>0.04</v>
      </c>
      <c r="F60" s="142">
        <f>$C$31</f>
        <v>0.075</v>
      </c>
      <c r="G60" s="142">
        <f>$C$32+C60</f>
        <v>-0.01</v>
      </c>
      <c r="H60" s="142">
        <f>$C$34</f>
        <v>0.37</v>
      </c>
      <c r="I60" s="142">
        <f>$C$35</f>
        <v>0.755</v>
      </c>
      <c r="J60" s="142">
        <f>$C$42</f>
        <v>0.9</v>
      </c>
      <c r="K60" s="142">
        <f>$C$44</f>
        <v>0.16</v>
      </c>
      <c r="L60" s="146">
        <f>$C$11*(1+D60)*(1+G60)*(1+$C$33)</f>
        <v>226866.79777881</v>
      </c>
      <c r="M60" s="146">
        <f>$C$12*(1+E60)*(1+G60)*(1+$C$33)</f>
        <v>38306.8332545921</v>
      </c>
      <c r="N60" s="146">
        <f>$C$13*(1+$C$29)*(1+G60)*(1+$C$33)</f>
        <v>29888.2049256934</v>
      </c>
      <c r="O60" s="146">
        <f>$C$14*(1+$C$30)*(1+G60)*(1+$C$33)</f>
        <v>36388.6588803328</v>
      </c>
      <c r="P60" s="146">
        <f>$C$15*(1+F60)*(1+G60)*(1+$C$33)</f>
        <v>136438.901176542</v>
      </c>
      <c r="Q60" s="146">
        <f>SUM(L60:P60)</f>
        <v>467889.39601597</v>
      </c>
      <c r="R60" s="146">
        <f>SUM(L60:O60)</f>
        <v>331450.494839428</v>
      </c>
      <c r="S60" s="146">
        <f>R60*H60+P60*I60</f>
        <v>225648.053478877</v>
      </c>
      <c r="T60" s="146">
        <f>Q60-S60</f>
        <v>242241.342537092</v>
      </c>
      <c r="U60" s="146">
        <f>Q60*$C$37</f>
        <v>38834.8198693255</v>
      </c>
      <c r="V60" s="146">
        <f>Q60*$C$36</f>
        <v>30880.700137054</v>
      </c>
      <c r="W60" s="171">
        <f>S60-U60-V60</f>
        <v>155932.533472498</v>
      </c>
      <c r="X60" s="146">
        <f>W60*K60</f>
        <v>24949.2053555997</v>
      </c>
      <c r="Y60" s="146">
        <f>W60-X60</f>
        <v>130983.328116898</v>
      </c>
      <c r="Z60" s="173">
        <f>Y60/$C$17</f>
        <v>8.90109167337093</v>
      </c>
      <c r="AA60" s="146">
        <f>Q60*$C$16</f>
        <v>114395.02752732</v>
      </c>
      <c r="AB60" s="146">
        <f>T60*$C$16</f>
        <v>59225.9736675885</v>
      </c>
      <c r="AC60" s="146">
        <f>$C$18*Q60</f>
        <v>13703.2143738334</v>
      </c>
      <c r="AD60" s="146">
        <f>$C$38*(AA60/90)</f>
        <v>41944.8434266841</v>
      </c>
      <c r="AE60" s="146">
        <f>$C$39*(AB60/90)</f>
        <v>6580.66374084316</v>
      </c>
      <c r="AF60" s="146">
        <f>$C$40*(AB60/90)</f>
        <v>75677.6330196964</v>
      </c>
      <c r="AG60" s="146">
        <f>-(AD60-$C$20)</f>
        <v>-868.806409151104</v>
      </c>
      <c r="AH60" s="146">
        <f>-(AE60-$C$21)</f>
        <v>-266.228603293631</v>
      </c>
      <c r="AI60" s="146">
        <f>(AF60-$C$22)</f>
        <v>3061.62893787675</v>
      </c>
      <c r="AJ60" s="146">
        <f>Y60+AC60+AG60+AH60+AI60</f>
        <v>146613.136416164</v>
      </c>
      <c r="AK60" s="146">
        <f>-$C$41*Q60</f>
        <v>-14036.6818804791</v>
      </c>
      <c r="AL60" s="171">
        <f>AJ60+AK60</f>
        <v>132576.454535684</v>
      </c>
      <c r="AM60" s="146">
        <f>-J60*AL60</f>
        <v>-119318.809082116</v>
      </c>
      <c r="AN60" s="146">
        <f>-$C$43*Y60</f>
        <v>-19647.4992175347</v>
      </c>
      <c r="AO60" s="146">
        <f>4*$C$45</f>
        <v>0</v>
      </c>
      <c r="AP60" s="146">
        <f>AM60+AN60+AO60</f>
        <v>-138966.308299651</v>
      </c>
      <c r="AQ60" s="146">
        <f>AJ60+AK60+AP60</f>
        <v>-6389.85376396627</v>
      </c>
      <c r="AR60" s="171">
        <f>$C$19+AQ60</f>
        <v>23394.694418871</v>
      </c>
      <c r="AS60" s="146">
        <f>W60-$W$52</f>
        <v>-1575.07609568181</v>
      </c>
      <c r="AT60" s="148">
        <f>Z60-$Z$52</f>
        <v>-0.0899100169027385</v>
      </c>
      <c r="AU60" s="146">
        <f>AL60-$AL$52</f>
        <v>-1593.95945921636</v>
      </c>
      <c r="AV60" s="146">
        <f>AR60-$AR$52</f>
        <v>39.0636421342788</v>
      </c>
    </row>
    <row r="61">
      <c r="A61" s="127" t="inlineStr">
        <is>
          <t>FX Impact -- HIGH</t>
        </is>
      </c>
      <c r="B61" s="127" t="inlineStr">
        <is>
          <t>FX Impact</t>
        </is>
      </c>
      <c r="C61" s="142">
        <f>$C$49</f>
        <v>0.01</v>
      </c>
      <c r="D61" s="142">
        <f>$C$27</f>
        <v>0.015</v>
      </c>
      <c r="E61" s="142">
        <f>$C$28</f>
        <v>0.04</v>
      </c>
      <c r="F61" s="142">
        <f>$C$31</f>
        <v>0.075</v>
      </c>
      <c r="G61" s="142">
        <f>$C$32+C61</f>
        <v>0.01</v>
      </c>
      <c r="H61" s="142">
        <f>$C$34</f>
        <v>0.37</v>
      </c>
      <c r="I61" s="142">
        <f>$C$35</f>
        <v>0.755</v>
      </c>
      <c r="J61" s="142">
        <f>$C$42</f>
        <v>0.9</v>
      </c>
      <c r="K61" s="142">
        <f>$C$44</f>
        <v>0.16</v>
      </c>
      <c r="L61" s="146">
        <f>$C$11*(1+D61)*(1+G61)*(1+$C$33)</f>
        <v>231449.965410705</v>
      </c>
      <c r="M61" s="146">
        <f>$C$12*(1+E61)*(1+G61)*(1+$C$33)</f>
        <v>39080.7086738768</v>
      </c>
      <c r="N61" s="146">
        <f>$C$13*(1+$C$29)*(1+G61)*(1+$C$33)</f>
        <v>30492.0070454043</v>
      </c>
      <c r="O61" s="146">
        <f>$C$14*(1+$C$30)*(1+G61)*(1+$C$33)</f>
        <v>37123.7833021577</v>
      </c>
      <c r="P61" s="146">
        <f>$C$15*(1+F61)*(1+G61)*(1+$C$33)</f>
        <v>139195.242614452</v>
      </c>
      <c r="Q61" s="146">
        <f>SUM(L61:P61)</f>
        <v>477341.707046595</v>
      </c>
      <c r="R61" s="146">
        <f>SUM(L61:O61)</f>
        <v>338146.464432144</v>
      </c>
      <c r="S61" s="146">
        <f>R61*H61+P61*I61</f>
        <v>230206.600013804</v>
      </c>
      <c r="T61" s="146">
        <f>Q61-S61</f>
        <v>247135.107032791</v>
      </c>
      <c r="U61" s="146">
        <f>Q61*$C$37</f>
        <v>39619.3616848674</v>
      </c>
      <c r="V61" s="146">
        <f>Q61*$C$36</f>
        <v>31504.5526650753</v>
      </c>
      <c r="W61" s="171">
        <f>S61-U61-V61</f>
        <v>159082.685663861</v>
      </c>
      <c r="X61" s="146">
        <f>W61*K61</f>
        <v>25453.2297062178</v>
      </c>
      <c r="Y61" s="146">
        <f>W61-X61</f>
        <v>133629.455957644</v>
      </c>
      <c r="Z61" s="173">
        <f>Y61/$C$17</f>
        <v>9.0809117071764</v>
      </c>
      <c r="AA61" s="146">
        <f>Q61*$C$16</f>
        <v>116706.038184438</v>
      </c>
      <c r="AB61" s="146">
        <f>T61*$C$16</f>
        <v>60422.4579841054</v>
      </c>
      <c r="AC61" s="146">
        <f>$C$18*Q61</f>
        <v>13980.0469874462</v>
      </c>
      <c r="AD61" s="146">
        <f>$C$38*(AA61/90)</f>
        <v>42792.2140009606</v>
      </c>
      <c r="AE61" s="146">
        <f>$C$39*(AB61/90)</f>
        <v>6713.60644267838</v>
      </c>
      <c r="AF61" s="146">
        <f>$C$40*(AB61/90)</f>
        <v>77206.4740908014</v>
      </c>
      <c r="AG61" s="146">
        <f>-(AD61-$C$20)</f>
        <v>-1716.17698342756</v>
      </c>
      <c r="AH61" s="146">
        <f>-(AE61-$C$21)</f>
        <v>-399.171305128846</v>
      </c>
      <c r="AI61" s="146">
        <f>(AF61-$C$22)</f>
        <v>4590.47000898173</v>
      </c>
      <c r="AJ61" s="146">
        <f>Y61+AC61+AG61+AH61+AI61</f>
        <v>150084.624665515</v>
      </c>
      <c r="AK61" s="146">
        <f>-$C$41*Q61</f>
        <v>-14320.2512113979</v>
      </c>
      <c r="AL61" s="171">
        <f>AJ61+AK61</f>
        <v>135764.373454117</v>
      </c>
      <c r="AM61" s="146">
        <f>-J61*AL61</f>
        <v>-122187.936108706</v>
      </c>
      <c r="AN61" s="146">
        <f>-$C$43*Y61</f>
        <v>-20044.4183936465</v>
      </c>
      <c r="AO61" s="146">
        <f>4*$C$45</f>
        <v>0</v>
      </c>
      <c r="AP61" s="146">
        <f>AM61+AN61+AO61</f>
        <v>-142232.354502352</v>
      </c>
      <c r="AQ61" s="146">
        <f>AJ61+AK61+AP61</f>
        <v>-6467.98104823483</v>
      </c>
      <c r="AR61" s="171">
        <f>$C$19+AQ61</f>
        <v>23316.5671346025</v>
      </c>
      <c r="AS61" s="146">
        <f>W61-$W$52</f>
        <v>1575.07609568181</v>
      </c>
      <c r="AT61" s="148">
        <f>Z61-$Z$52</f>
        <v>0.0899100169027367</v>
      </c>
      <c r="AU61" s="146">
        <f>AL61-$AL$52</f>
        <v>1593.95945921642</v>
      </c>
      <c r="AV61" s="146">
        <f>AR61-$AR$52</f>
        <v>-39.0636421342788</v>
      </c>
    </row>
    <row r="62">
      <c r="A62" s="127" t="inlineStr">
        <is>
          <t>Gross Margin (Products &amp; Services) -- LOW</t>
        </is>
      </c>
      <c r="B62" s="127" t="inlineStr">
        <is>
          <t>Gross Margin (Products &amp; Services)</t>
        </is>
      </c>
      <c r="C62" s="142">
        <f>-$C$49</f>
        <v>-0.01</v>
      </c>
      <c r="D62" s="142">
        <f>$C$27</f>
        <v>0.015</v>
      </c>
      <c r="E62" s="142">
        <f>$C$28</f>
        <v>0.04</v>
      </c>
      <c r="F62" s="142">
        <f>$C$31</f>
        <v>0.075</v>
      </c>
      <c r="G62" s="142">
        <f>$C$32</f>
        <v>0</v>
      </c>
      <c r="H62" s="142">
        <f>$C$34+C62</f>
        <v>0.36</v>
      </c>
      <c r="I62" s="142">
        <f>$C$35+C62</f>
        <v>0.745</v>
      </c>
      <c r="J62" s="142">
        <f>$C$42</f>
        <v>0.9</v>
      </c>
      <c r="K62" s="142">
        <f>$C$44</f>
        <v>0.16</v>
      </c>
      <c r="L62" s="146">
        <f>$C$11*(1+D62)*(1+G62)*(1+$C$33)</f>
        <v>229158.381594757</v>
      </c>
      <c r="M62" s="146">
        <f>$C$12*(1+E62)*(1+G62)*(1+$C$33)</f>
        <v>38693.7709642344</v>
      </c>
      <c r="N62" s="146">
        <f>$C$13*(1+$C$29)*(1+G62)*(1+$C$33)</f>
        <v>30190.1059855488</v>
      </c>
      <c r="O62" s="146">
        <f>$C$14*(1+$C$30)*(1+G62)*(1+$C$33)</f>
        <v>36756.2210912452</v>
      </c>
      <c r="P62" s="146">
        <f>$C$15*(1+F62)*(1+G62)*(1+$C$33)</f>
        <v>137817.071895497</v>
      </c>
      <c r="Q62" s="146">
        <f>SUM(L62:P62)</f>
        <v>472615.551531282</v>
      </c>
      <c r="R62" s="146">
        <f>SUM(L62:O62)</f>
        <v>334798.479635786</v>
      </c>
      <c r="S62" s="146">
        <f>R62*H62+P62*I62</f>
        <v>223201.171231028</v>
      </c>
      <c r="T62" s="146">
        <f>Q62-S62</f>
        <v>249414.380300255</v>
      </c>
      <c r="U62" s="146">
        <f>Q62*$C$37</f>
        <v>39227.0907770964</v>
      </c>
      <c r="V62" s="146">
        <f>Q62*$C$36</f>
        <v>31192.6264010646</v>
      </c>
      <c r="W62" s="171">
        <f>S62-U62-V62</f>
        <v>152781.454052867</v>
      </c>
      <c r="X62" s="146">
        <f>W62*K62</f>
        <v>24445.0326484587</v>
      </c>
      <c r="Y62" s="146">
        <f>W62-X62</f>
        <v>128336.421404408</v>
      </c>
      <c r="Z62" s="173">
        <f>Y62/$C$17</f>
        <v>8.7212187106248</v>
      </c>
      <c r="AA62" s="146">
        <f>Q62*$C$16</f>
        <v>115550.532855879</v>
      </c>
      <c r="AB62" s="146">
        <f>T62*$C$16</f>
        <v>60979.7211544057</v>
      </c>
      <c r="AC62" s="146">
        <f>$C$18*Q62</f>
        <v>13841.6306806398</v>
      </c>
      <c r="AD62" s="146">
        <f>$C$38*(AA62/90)</f>
        <v>42368.5287138223</v>
      </c>
      <c r="AE62" s="146">
        <f>$C$39*(AB62/90)</f>
        <v>6775.52457271175</v>
      </c>
      <c r="AF62" s="146">
        <f>$C$40*(AB62/90)</f>
        <v>77918.5325861851</v>
      </c>
      <c r="AG62" s="146">
        <f>-(AD62-$C$20)</f>
        <v>-1292.49169628933</v>
      </c>
      <c r="AH62" s="146">
        <f>-(AE62-$C$21)</f>
        <v>-461.089435162215</v>
      </c>
      <c r="AI62" s="146">
        <f>(AF62-$C$22)</f>
        <v>5302.52850436547</v>
      </c>
      <c r="AJ62" s="146">
        <f>Y62+AC62+AG62+AH62+AI62</f>
        <v>145726.999457962</v>
      </c>
      <c r="AK62" s="146">
        <f>-$C$41*Q62</f>
        <v>-14178.4665459385</v>
      </c>
      <c r="AL62" s="171">
        <f>AJ62+AK62</f>
        <v>131548.532912023</v>
      </c>
      <c r="AM62" s="146">
        <f>-J62*AL62</f>
        <v>-118393.679620821</v>
      </c>
      <c r="AN62" s="146">
        <f>-$C$43*Y62</f>
        <v>-19250.4632106612</v>
      </c>
      <c r="AO62" s="146">
        <f>4*$C$45</f>
        <v>0</v>
      </c>
      <c r="AP62" s="146">
        <f>AM62+AN62+AO62</f>
        <v>-137644.142831482</v>
      </c>
      <c r="AQ62" s="146">
        <f>AJ62+AK62+AP62</f>
        <v>-6095.60991945889</v>
      </c>
      <c r="AR62" s="171">
        <f>$C$19+AQ62</f>
        <v>23688.9382633784</v>
      </c>
      <c r="AS62" s="146">
        <f>W62-$W$52</f>
        <v>-4726.1555153128</v>
      </c>
      <c r="AT62" s="148">
        <f>Z62-$Z$52</f>
        <v>-0.269782979648866</v>
      </c>
      <c r="AU62" s="146">
        <f>AL62-$AL$52</f>
        <v>-2621.88108287752</v>
      </c>
      <c r="AV62" s="146">
        <f>AR62-$AR$52</f>
        <v>333.307486641657</v>
      </c>
    </row>
    <row r="63">
      <c r="A63" s="127" t="inlineStr">
        <is>
          <t>Gross Margin (Products &amp; Services) -- HIGH</t>
        </is>
      </c>
      <c r="B63" s="127" t="inlineStr">
        <is>
          <t>Gross Margin (Products &amp; Services)</t>
        </is>
      </c>
      <c r="C63" s="142">
        <f>$C$49</f>
        <v>0.01</v>
      </c>
      <c r="D63" s="142">
        <f>$C$27</f>
        <v>0.015</v>
      </c>
      <c r="E63" s="142">
        <f>$C$28</f>
        <v>0.04</v>
      </c>
      <c r="F63" s="142">
        <f>$C$31</f>
        <v>0.075</v>
      </c>
      <c r="G63" s="142">
        <f>$C$32</f>
        <v>0</v>
      </c>
      <c r="H63" s="142">
        <f>$C$34+C63</f>
        <v>0.38</v>
      </c>
      <c r="I63" s="142">
        <f>$C$35+C63</f>
        <v>0.765</v>
      </c>
      <c r="J63" s="142">
        <f>$C$42</f>
        <v>0.9</v>
      </c>
      <c r="K63" s="142">
        <f>$C$44</f>
        <v>0.16</v>
      </c>
      <c r="L63" s="146">
        <f>$C$11*(1+D63)*(1+G63)*(1+$C$33)</f>
        <v>229158.381594757</v>
      </c>
      <c r="M63" s="146">
        <f>$C$12*(1+E63)*(1+G63)*(1+$C$33)</f>
        <v>38693.7709642344</v>
      </c>
      <c r="N63" s="146">
        <f>$C$13*(1+$C$29)*(1+G63)*(1+$C$33)</f>
        <v>30190.1059855488</v>
      </c>
      <c r="O63" s="146">
        <f>$C$14*(1+$C$30)*(1+G63)*(1+$C$33)</f>
        <v>36756.2210912452</v>
      </c>
      <c r="P63" s="146">
        <f>$C$15*(1+F63)*(1+G63)*(1+$C$33)</f>
        <v>137817.071895497</v>
      </c>
      <c r="Q63" s="146">
        <f>SUM(L63:P63)</f>
        <v>472615.551531282</v>
      </c>
      <c r="R63" s="146">
        <f>SUM(L63:O63)</f>
        <v>334798.479635786</v>
      </c>
      <c r="S63" s="146">
        <f>R63*H63+P63*I63</f>
        <v>232653.482261654</v>
      </c>
      <c r="T63" s="146">
        <f>Q63-S63</f>
        <v>239962.069269629</v>
      </c>
      <c r="U63" s="146">
        <f>Q63*$C$37</f>
        <v>39227.0907770964</v>
      </c>
      <c r="V63" s="146">
        <f>Q63*$C$36</f>
        <v>31192.6264010646</v>
      </c>
      <c r="W63" s="171">
        <f>S63-U63-V63</f>
        <v>162233.765083493</v>
      </c>
      <c r="X63" s="146">
        <f>W63*K63</f>
        <v>25957.4024133588</v>
      </c>
      <c r="Y63" s="146">
        <f>W63-X63</f>
        <v>136276.362670134</v>
      </c>
      <c r="Z63" s="173">
        <f>Y63/$C$17</f>
        <v>9.26078466992253</v>
      </c>
      <c r="AA63" s="146">
        <f>Q63*$C$16</f>
        <v>115550.532855879</v>
      </c>
      <c r="AB63" s="146">
        <f>T63*$C$16</f>
        <v>58668.7104972881</v>
      </c>
      <c r="AC63" s="146">
        <f>$C$18*Q63</f>
        <v>13841.6306806398</v>
      </c>
      <c r="AD63" s="146">
        <f>$C$38*(AA63/90)</f>
        <v>42368.5287138223</v>
      </c>
      <c r="AE63" s="146">
        <f>$C$39*(AB63/90)</f>
        <v>6518.74561080979</v>
      </c>
      <c r="AF63" s="146">
        <f>$C$40*(AB63/90)</f>
        <v>74965.5745243126</v>
      </c>
      <c r="AG63" s="146">
        <f>-(AD63-$C$20)</f>
        <v>-1292.49169628933</v>
      </c>
      <c r="AH63" s="146">
        <f>-(AE63-$C$21)</f>
        <v>-204.310473260261</v>
      </c>
      <c r="AI63" s="146">
        <f>(AF63-$C$22)</f>
        <v>2349.570442493</v>
      </c>
      <c r="AJ63" s="146">
        <f>Y63+AC63+AG63+AH63+AI63</f>
        <v>150970.761623717</v>
      </c>
      <c r="AK63" s="146">
        <f>-$C$41*Q63</f>
        <v>-14178.4665459385</v>
      </c>
      <c r="AL63" s="171">
        <f>AJ63+AK63</f>
        <v>136792.295077778</v>
      </c>
      <c r="AM63" s="146">
        <f>-J63*AL63</f>
        <v>-123113.065570001</v>
      </c>
      <c r="AN63" s="146">
        <f>-$C$43*Y63</f>
        <v>-20441.4544005201</v>
      </c>
      <c r="AO63" s="146">
        <f>4*$C$45</f>
        <v>0</v>
      </c>
      <c r="AP63" s="146">
        <f>AM63+AN63+AO63</f>
        <v>-143554.519970521</v>
      </c>
      <c r="AQ63" s="146">
        <f>AJ63+AK63+AP63</f>
        <v>-6762.2248927422</v>
      </c>
      <c r="AR63" s="171">
        <f>$C$19+AQ63</f>
        <v>23022.3232900951</v>
      </c>
      <c r="AS63" s="146">
        <f>W63-$W$52</f>
        <v>4726.15551531286</v>
      </c>
      <c r="AT63" s="148">
        <f>Z63-$Z$52</f>
        <v>0.269782979648868</v>
      </c>
      <c r="AU63" s="146">
        <f>AL63-$AL$52</f>
        <v>2621.88108287752</v>
      </c>
      <c r="AV63" s="146">
        <f>AR63-$AR$52</f>
        <v>-333.307486641657</v>
      </c>
    </row>
    <row r="64">
      <c r="A64" s="127" t="inlineStr">
        <is>
          <t>Buyback % of Trailing FCF -- LOW</t>
        </is>
      </c>
      <c r="B64" s="127" t="inlineStr">
        <is>
          <t>Buyback % of Trailing FCF</t>
        </is>
      </c>
      <c r="C64" s="142">
        <f>-$C$49</f>
        <v>-0.01</v>
      </c>
      <c r="D64" s="142">
        <f>$C$27</f>
        <v>0.015</v>
      </c>
      <c r="E64" s="142">
        <f>$C$28</f>
        <v>0.04</v>
      </c>
      <c r="F64" s="142">
        <f>$C$31</f>
        <v>0.075</v>
      </c>
      <c r="G64" s="142">
        <f>$C$32</f>
        <v>0</v>
      </c>
      <c r="H64" s="142">
        <f>$C$34</f>
        <v>0.37</v>
      </c>
      <c r="I64" s="142">
        <f>$C$35</f>
        <v>0.755</v>
      </c>
      <c r="J64" s="142">
        <f>$C$42+C64</f>
        <v>0.89</v>
      </c>
      <c r="K64" s="142">
        <f>$C$44</f>
        <v>0.16</v>
      </c>
      <c r="L64" s="146">
        <f>$C$11*(1+D64)*(1+G64)*(1+$C$33)</f>
        <v>229158.381594757</v>
      </c>
      <c r="M64" s="146">
        <f>$C$12*(1+E64)*(1+G64)*(1+$C$33)</f>
        <v>38693.7709642344</v>
      </c>
      <c r="N64" s="146">
        <f>$C$13*(1+$C$29)*(1+G64)*(1+$C$33)</f>
        <v>30190.1059855488</v>
      </c>
      <c r="O64" s="146">
        <f>$C$14*(1+$C$30)*(1+G64)*(1+$C$33)</f>
        <v>36756.2210912452</v>
      </c>
      <c r="P64" s="146">
        <f>$C$15*(1+F64)*(1+G64)*(1+$C$33)</f>
        <v>137817.071895497</v>
      </c>
      <c r="Q64" s="146">
        <f>SUM(L64:P64)</f>
        <v>472615.551531282</v>
      </c>
      <c r="R64" s="146">
        <f>SUM(L64:O64)</f>
        <v>334798.479635786</v>
      </c>
      <c r="S64" s="146">
        <f>R64*H64+P64*I64</f>
        <v>227927.326746341</v>
      </c>
      <c r="T64" s="146">
        <f>Q64-S64</f>
        <v>244688.224784942</v>
      </c>
      <c r="U64" s="146">
        <f>Q64*$C$37</f>
        <v>39227.0907770964</v>
      </c>
      <c r="V64" s="146">
        <f>Q64*$C$36</f>
        <v>31192.6264010646</v>
      </c>
      <c r="W64" s="171">
        <f>S64-U64-V64</f>
        <v>157507.60956818</v>
      </c>
      <c r="X64" s="146">
        <f>W64*K64</f>
        <v>25201.2175309087</v>
      </c>
      <c r="Y64" s="146">
        <f>W64-X64</f>
        <v>132306.392037271</v>
      </c>
      <c r="Z64" s="173">
        <f>Y64/$C$17</f>
        <v>8.99100169027367</v>
      </c>
      <c r="AA64" s="146">
        <f>Q64*$C$16</f>
        <v>115550.532855879</v>
      </c>
      <c r="AB64" s="146">
        <f>T64*$C$16</f>
        <v>59824.2158258469</v>
      </c>
      <c r="AC64" s="146">
        <f>$C$18*Q64</f>
        <v>13841.6306806398</v>
      </c>
      <c r="AD64" s="146">
        <f>$C$38*(AA64/90)</f>
        <v>42368.5287138223</v>
      </c>
      <c r="AE64" s="146">
        <f>$C$39*(AB64/90)</f>
        <v>6647.13509176077</v>
      </c>
      <c r="AF64" s="146">
        <f>$C$40*(AB64/90)</f>
        <v>76442.0535552489</v>
      </c>
      <c r="AG64" s="146">
        <f>-(AD64-$C$20)</f>
        <v>-1292.49169628933</v>
      </c>
      <c r="AH64" s="146">
        <f>-(AE64-$C$21)</f>
        <v>-332.699954211239</v>
      </c>
      <c r="AI64" s="146">
        <f>(AF64-$C$22)</f>
        <v>3826.04947342924</v>
      </c>
      <c r="AJ64" s="146">
        <f>Y64+AC64+AG64+AH64+AI64</f>
        <v>148348.880540839</v>
      </c>
      <c r="AK64" s="146">
        <f>-$C$41*Q64</f>
        <v>-14178.4665459385</v>
      </c>
      <c r="AL64" s="171">
        <f>AJ64+AK64</f>
        <v>134170.413994901</v>
      </c>
      <c r="AM64" s="146">
        <f>-J64*AL64</f>
        <v>-119411.668455462</v>
      </c>
      <c r="AN64" s="146">
        <f>-$C$43*Y64</f>
        <v>-19845.9588055906</v>
      </c>
      <c r="AO64" s="146">
        <f>4*$C$45</f>
        <v>0</v>
      </c>
      <c r="AP64" s="146">
        <f>AM64+AN64+AO64</f>
        <v>-139257.627261052</v>
      </c>
      <c r="AQ64" s="146">
        <f>AJ64+AK64+AP64</f>
        <v>-5087.21326615155</v>
      </c>
      <c r="AR64" s="171">
        <f>$C$19+AQ64</f>
        <v>24697.3349166858</v>
      </c>
      <c r="AS64" s="146">
        <f>W64-$W$52</f>
        <v>0</v>
      </c>
      <c r="AT64" s="148">
        <f>Z64-$Z$52</f>
        <v>0</v>
      </c>
      <c r="AU64" s="146">
        <f>AL64-$AL$52</f>
        <v>0</v>
      </c>
      <c r="AV64" s="146">
        <f>AR64-$AR$52</f>
        <v>1341.704139949</v>
      </c>
    </row>
    <row r="65">
      <c r="A65" s="127" t="inlineStr">
        <is>
          <t>Buyback % of Trailing FCF -- HIGH</t>
        </is>
      </c>
      <c r="B65" s="127" t="inlineStr">
        <is>
          <t>Buyback % of Trailing FCF</t>
        </is>
      </c>
      <c r="C65" s="142">
        <f>$C$49</f>
        <v>0.01</v>
      </c>
      <c r="D65" s="142">
        <f>$C$27</f>
        <v>0.015</v>
      </c>
      <c r="E65" s="142">
        <f>$C$28</f>
        <v>0.04</v>
      </c>
      <c r="F65" s="142">
        <f>$C$31</f>
        <v>0.075</v>
      </c>
      <c r="G65" s="142">
        <f>$C$32</f>
        <v>0</v>
      </c>
      <c r="H65" s="142">
        <f>$C$34</f>
        <v>0.37</v>
      </c>
      <c r="I65" s="142">
        <f>$C$35</f>
        <v>0.755</v>
      </c>
      <c r="J65" s="142">
        <f>$C$42+C65</f>
        <v>0.91</v>
      </c>
      <c r="K65" s="142">
        <f>$C$44</f>
        <v>0.16</v>
      </c>
      <c r="L65" s="146">
        <f>$C$11*(1+D65)*(1+G65)*(1+$C$33)</f>
        <v>229158.381594757</v>
      </c>
      <c r="M65" s="146">
        <f>$C$12*(1+E65)*(1+G65)*(1+$C$33)</f>
        <v>38693.7709642344</v>
      </c>
      <c r="N65" s="146">
        <f>$C$13*(1+$C$29)*(1+G65)*(1+$C$33)</f>
        <v>30190.1059855488</v>
      </c>
      <c r="O65" s="146">
        <f>$C$14*(1+$C$30)*(1+G65)*(1+$C$33)</f>
        <v>36756.2210912452</v>
      </c>
      <c r="P65" s="146">
        <f>$C$15*(1+F65)*(1+G65)*(1+$C$33)</f>
        <v>137817.071895497</v>
      </c>
      <c r="Q65" s="146">
        <f>SUM(L65:P65)</f>
        <v>472615.551531282</v>
      </c>
      <c r="R65" s="146">
        <f>SUM(L65:O65)</f>
        <v>334798.479635786</v>
      </c>
      <c r="S65" s="146">
        <f>R65*H65+P65*I65</f>
        <v>227927.326746341</v>
      </c>
      <c r="T65" s="146">
        <f>Q65-S65</f>
        <v>244688.224784942</v>
      </c>
      <c r="U65" s="146">
        <f>Q65*$C$37</f>
        <v>39227.0907770964</v>
      </c>
      <c r="V65" s="146">
        <f>Q65*$C$36</f>
        <v>31192.6264010646</v>
      </c>
      <c r="W65" s="171">
        <f>S65-U65-V65</f>
        <v>157507.60956818</v>
      </c>
      <c r="X65" s="146">
        <f>W65*K65</f>
        <v>25201.2175309087</v>
      </c>
      <c r="Y65" s="146">
        <f>W65-X65</f>
        <v>132306.392037271</v>
      </c>
      <c r="Z65" s="173">
        <f>Y65/$C$17</f>
        <v>8.99100169027367</v>
      </c>
      <c r="AA65" s="146">
        <f>Q65*$C$16</f>
        <v>115550.532855879</v>
      </c>
      <c r="AB65" s="146">
        <f>T65*$C$16</f>
        <v>59824.2158258469</v>
      </c>
      <c r="AC65" s="146">
        <f>$C$18*Q65</f>
        <v>13841.6306806398</v>
      </c>
      <c r="AD65" s="146">
        <f>$C$38*(AA65/90)</f>
        <v>42368.5287138223</v>
      </c>
      <c r="AE65" s="146">
        <f>$C$39*(AB65/90)</f>
        <v>6647.13509176077</v>
      </c>
      <c r="AF65" s="146">
        <f>$C$40*(AB65/90)</f>
        <v>76442.0535552489</v>
      </c>
      <c r="AG65" s="146">
        <f>-(AD65-$C$20)</f>
        <v>-1292.49169628933</v>
      </c>
      <c r="AH65" s="146">
        <f>-(AE65-$C$21)</f>
        <v>-332.699954211239</v>
      </c>
      <c r="AI65" s="146">
        <f>(AF65-$C$22)</f>
        <v>3826.04947342924</v>
      </c>
      <c r="AJ65" s="146">
        <f>Y65+AC65+AG65+AH65+AI65</f>
        <v>148348.880540839</v>
      </c>
      <c r="AK65" s="146">
        <f>-$C$41*Q65</f>
        <v>-14178.4665459385</v>
      </c>
      <c r="AL65" s="171">
        <f>AJ65+AK65</f>
        <v>134170.413994901</v>
      </c>
      <c r="AM65" s="146">
        <f>-J65*AL65</f>
        <v>-122095.07673536</v>
      </c>
      <c r="AN65" s="146">
        <f>-$C$43*Y65</f>
        <v>-19845.9588055906</v>
      </c>
      <c r="AO65" s="146">
        <f>4*$C$45</f>
        <v>0</v>
      </c>
      <c r="AP65" s="146">
        <f>AM65+AN65+AO65</f>
        <v>-141941.03554095</v>
      </c>
      <c r="AQ65" s="146">
        <f>AJ65+AK65+AP65</f>
        <v>-7770.62154604957</v>
      </c>
      <c r="AR65" s="171">
        <f>$C$19+AQ65</f>
        <v>22013.9266367877</v>
      </c>
      <c r="AS65" s="146">
        <f>W65-$W$52</f>
        <v>0</v>
      </c>
      <c r="AT65" s="148">
        <f>Z65-$Z$52</f>
        <v>0</v>
      </c>
      <c r="AU65" s="146">
        <f>AL65-$AL$52</f>
        <v>0</v>
      </c>
      <c r="AV65" s="146">
        <f>AR65-$AR$52</f>
        <v>-1341.70413994903</v>
      </c>
    </row>
    <row r="66">
      <c r="A66" s="127" t="inlineStr">
        <is>
          <t>Effective Tax Rate -- LOW</t>
        </is>
      </c>
      <c r="B66" s="127" t="inlineStr">
        <is>
          <t>Effective Tax Rate</t>
        </is>
      </c>
      <c r="C66" s="142">
        <f>-$C$49</f>
        <v>-0.01</v>
      </c>
      <c r="D66" s="142">
        <f>$C$27</f>
        <v>0.015</v>
      </c>
      <c r="E66" s="142">
        <f>$C$28</f>
        <v>0.04</v>
      </c>
      <c r="F66" s="142">
        <f>$C$31</f>
        <v>0.075</v>
      </c>
      <c r="G66" s="142">
        <f>$C$32</f>
        <v>0</v>
      </c>
      <c r="H66" s="142">
        <f>$C$34</f>
        <v>0.37</v>
      </c>
      <c r="I66" s="142">
        <f>$C$35</f>
        <v>0.755</v>
      </c>
      <c r="J66" s="142">
        <f>$C$42</f>
        <v>0.9</v>
      </c>
      <c r="K66" s="142">
        <f>$C$44+C66</f>
        <v>0.15</v>
      </c>
      <c r="L66" s="146">
        <f>$C$11*(1+D66)*(1+G66)*(1+$C$33)</f>
        <v>229158.381594757</v>
      </c>
      <c r="M66" s="146">
        <f>$C$12*(1+E66)*(1+G66)*(1+$C$33)</f>
        <v>38693.7709642344</v>
      </c>
      <c r="N66" s="146">
        <f>$C$13*(1+$C$29)*(1+G66)*(1+$C$33)</f>
        <v>30190.1059855488</v>
      </c>
      <c r="O66" s="146">
        <f>$C$14*(1+$C$30)*(1+G66)*(1+$C$33)</f>
        <v>36756.2210912452</v>
      </c>
      <c r="P66" s="146">
        <f>$C$15*(1+F66)*(1+G66)*(1+$C$33)</f>
        <v>137817.071895497</v>
      </c>
      <c r="Q66" s="146">
        <f>SUM(L66:P66)</f>
        <v>472615.551531282</v>
      </c>
      <c r="R66" s="146">
        <f>SUM(L66:O66)</f>
        <v>334798.479635786</v>
      </c>
      <c r="S66" s="146">
        <f>R66*H66+P66*I66</f>
        <v>227927.326746341</v>
      </c>
      <c r="T66" s="146">
        <f>Q66-S66</f>
        <v>244688.224784942</v>
      </c>
      <c r="U66" s="146">
        <f>Q66*$C$37</f>
        <v>39227.0907770964</v>
      </c>
      <c r="V66" s="146">
        <f>Q66*$C$36</f>
        <v>31192.6264010646</v>
      </c>
      <c r="W66" s="171">
        <f>S66-U66-V66</f>
        <v>157507.60956818</v>
      </c>
      <c r="X66" s="146">
        <f>W66*K66</f>
        <v>23626.1414352269</v>
      </c>
      <c r="Y66" s="146">
        <f>W66-X66</f>
        <v>133881.468132953</v>
      </c>
      <c r="Z66" s="173">
        <f>Y66/$C$17</f>
        <v>9.09803742468169</v>
      </c>
      <c r="AA66" s="146">
        <f>Q66*$C$16</f>
        <v>115550.532855879</v>
      </c>
      <c r="AB66" s="146">
        <f>T66*$C$16</f>
        <v>59824.2158258469</v>
      </c>
      <c r="AC66" s="146">
        <f>$C$18*Q66</f>
        <v>13841.6306806398</v>
      </c>
      <c r="AD66" s="146">
        <f>$C$38*(AA66/90)</f>
        <v>42368.5287138223</v>
      </c>
      <c r="AE66" s="146">
        <f>$C$39*(AB66/90)</f>
        <v>6647.13509176077</v>
      </c>
      <c r="AF66" s="146">
        <f>$C$40*(AB66/90)</f>
        <v>76442.0535552489</v>
      </c>
      <c r="AG66" s="146">
        <f>-(AD66-$C$20)</f>
        <v>-1292.49169628933</v>
      </c>
      <c r="AH66" s="146">
        <f>-(AE66-$C$21)</f>
        <v>-332.699954211239</v>
      </c>
      <c r="AI66" s="146">
        <f>(AF66-$C$22)</f>
        <v>3826.04947342924</v>
      </c>
      <c r="AJ66" s="146">
        <f>Y66+AC66+AG66+AH66+AI66</f>
        <v>149923.956636521</v>
      </c>
      <c r="AK66" s="146">
        <f>-$C$41*Q66</f>
        <v>-14178.4665459385</v>
      </c>
      <c r="AL66" s="171">
        <f>AJ66+AK66</f>
        <v>135745.490090583</v>
      </c>
      <c r="AM66" s="146">
        <f>-J66*AL66</f>
        <v>-122170.941081524</v>
      </c>
      <c r="AN66" s="146">
        <f>-$C$43*Y66</f>
        <v>-20082.2202199429</v>
      </c>
      <c r="AO66" s="146">
        <f>4*$C$45</f>
        <v>0</v>
      </c>
      <c r="AP66" s="146">
        <f>AM66+AN66+AO66</f>
        <v>-142253.161301467</v>
      </c>
      <c r="AQ66" s="146">
        <f>AJ66+AK66+AP66</f>
        <v>-6507.67121088464</v>
      </c>
      <c r="AR66" s="171">
        <f>$C$19+AQ66</f>
        <v>23276.8769719527</v>
      </c>
      <c r="AS66" s="146">
        <f>W66-$W$52</f>
        <v>0</v>
      </c>
      <c r="AT66" s="148">
        <f>Z66-$Z$52</f>
        <v>0.107035734408019</v>
      </c>
      <c r="AU66" s="146">
        <f>AL66-$AL$52</f>
        <v>1575.07609568178</v>
      </c>
      <c r="AV66" s="146">
        <f>AR66-$AR$52</f>
        <v>-78.7538047840935</v>
      </c>
    </row>
    <row r="67">
      <c r="A67" s="127" t="inlineStr">
        <is>
          <t>Effective Tax Rate -- HIGH</t>
        </is>
      </c>
      <c r="B67" s="127" t="inlineStr">
        <is>
          <t>Effective Tax Rate</t>
        </is>
      </c>
      <c r="C67" s="142">
        <f>$C$49</f>
        <v>0.01</v>
      </c>
      <c r="D67" s="142">
        <f>$C$27</f>
        <v>0.015</v>
      </c>
      <c r="E67" s="142">
        <f>$C$28</f>
        <v>0.04</v>
      </c>
      <c r="F67" s="142">
        <f>$C$31</f>
        <v>0.075</v>
      </c>
      <c r="G67" s="142">
        <f>$C$32</f>
        <v>0</v>
      </c>
      <c r="H67" s="142">
        <f>$C$34</f>
        <v>0.37</v>
      </c>
      <c r="I67" s="142">
        <f>$C$35</f>
        <v>0.755</v>
      </c>
      <c r="J67" s="142">
        <f>$C$42</f>
        <v>0.9</v>
      </c>
      <c r="K67" s="142">
        <f>$C$44+C67</f>
        <v>0.17</v>
      </c>
      <c r="L67" s="146">
        <f>$C$11*(1+D67)*(1+G67)*(1+$C$33)</f>
        <v>229158.381594757</v>
      </c>
      <c r="M67" s="146">
        <f>$C$12*(1+E67)*(1+G67)*(1+$C$33)</f>
        <v>38693.7709642344</v>
      </c>
      <c r="N67" s="146">
        <f>$C$13*(1+$C$29)*(1+G67)*(1+$C$33)</f>
        <v>30190.1059855488</v>
      </c>
      <c r="O67" s="146">
        <f>$C$14*(1+$C$30)*(1+G67)*(1+$C$33)</f>
        <v>36756.2210912452</v>
      </c>
      <c r="P67" s="146">
        <f>$C$15*(1+F67)*(1+G67)*(1+$C$33)</f>
        <v>137817.071895497</v>
      </c>
      <c r="Q67" s="146">
        <f>SUM(L67:P67)</f>
        <v>472615.551531282</v>
      </c>
      <c r="R67" s="146">
        <f>SUM(L67:O67)</f>
        <v>334798.479635786</v>
      </c>
      <c r="S67" s="146">
        <f>R67*H67+P67*I67</f>
        <v>227927.326746341</v>
      </c>
      <c r="T67" s="146">
        <f>Q67-S67</f>
        <v>244688.224784942</v>
      </c>
      <c r="U67" s="146">
        <f>Q67*$C$37</f>
        <v>39227.0907770964</v>
      </c>
      <c r="V67" s="146">
        <f>Q67*$C$36</f>
        <v>31192.6264010646</v>
      </c>
      <c r="W67" s="171">
        <f>S67-U67-V67</f>
        <v>157507.60956818</v>
      </c>
      <c r="X67" s="146">
        <f>W67*K67</f>
        <v>26776.2936265905</v>
      </c>
      <c r="Y67" s="146">
        <f>W67-X67</f>
        <v>130731.315941589</v>
      </c>
      <c r="Z67" s="173">
        <f>Y67/$C$17</f>
        <v>8.88396595586565</v>
      </c>
      <c r="AA67" s="146">
        <f>Q67*$C$16</f>
        <v>115550.532855879</v>
      </c>
      <c r="AB67" s="146">
        <f>T67*$C$16</f>
        <v>59824.2158258469</v>
      </c>
      <c r="AC67" s="146">
        <f>$C$18*Q67</f>
        <v>13841.6306806398</v>
      </c>
      <c r="AD67" s="146">
        <f>$C$38*(AA67/90)</f>
        <v>42368.5287138223</v>
      </c>
      <c r="AE67" s="146">
        <f>$C$39*(AB67/90)</f>
        <v>6647.13509176077</v>
      </c>
      <c r="AF67" s="146">
        <f>$C$40*(AB67/90)</f>
        <v>76442.0535552489</v>
      </c>
      <c r="AG67" s="146">
        <f>-(AD67-$C$20)</f>
        <v>-1292.49169628933</v>
      </c>
      <c r="AH67" s="146">
        <f>-(AE67-$C$21)</f>
        <v>-332.699954211239</v>
      </c>
      <c r="AI67" s="146">
        <f>(AF67-$C$22)</f>
        <v>3826.04947342924</v>
      </c>
      <c r="AJ67" s="146">
        <f>Y67+AC67+AG67+AH67+AI67</f>
        <v>146773.804445158</v>
      </c>
      <c r="AK67" s="146">
        <f>-$C$41*Q67</f>
        <v>-14178.4665459385</v>
      </c>
      <c r="AL67" s="171">
        <f>AJ67+AK67</f>
        <v>132595.337899219</v>
      </c>
      <c r="AM67" s="146">
        <f>-J67*AL67</f>
        <v>-119335.804109297</v>
      </c>
      <c r="AN67" s="146">
        <f>-$C$43*Y67</f>
        <v>-19609.6973912384</v>
      </c>
      <c r="AO67" s="146">
        <f>4*$C$45</f>
        <v>0</v>
      </c>
      <c r="AP67" s="146">
        <f>AM67+AN67+AO67</f>
        <v>-138945.501500535</v>
      </c>
      <c r="AQ67" s="146">
        <f>AJ67+AK67+AP67</f>
        <v>-6350.16360131645</v>
      </c>
      <c r="AR67" s="171">
        <f>$C$19+AQ67</f>
        <v>23434.3845815208</v>
      </c>
      <c r="AS67" s="146">
        <f>W67-$W$52</f>
        <v>0</v>
      </c>
      <c r="AT67" s="148">
        <f>Z67-$Z$52</f>
        <v>-0.10703573440802</v>
      </c>
      <c r="AU67" s="146">
        <f>AL67-$AL$52</f>
        <v>-1575.07609568181</v>
      </c>
      <c r="AV67" s="146">
        <f>AR67-$AR$52</f>
        <v>78.7538047840935</v>
      </c>
    </row>
    <row r="68" ht="55" customHeight="1">
      <c r="A68" s="154" t="inlineStr">
        <is>
          <t>OBSERVATIONS (read directly off columns AS:AV above, not asserted): Gross Margin and the revenue-growth drivers (iPhone/Mac/Services/FX) move Operating Income, EPS, Cash, AND Free Cash Flow (Gross Margin has the largest OI impact per point swung, since it applies to the full revenue base rather than one segment). Buyback % moves Cash only (Delta OI = Delta EPS = Delta FCF = $0.00 exactly, columns AS/AT/AU) -- confirms the structural finding in row 5 above. Tax Rate moves EPS/Cash/FCF but NOT Operating Income (Delta OI = $0.00 exactly, column AS) -- tax is applied strictly below the OI line in this model.</t>
        </is>
      </c>
      <c r="B68" s="218" t="n"/>
      <c r="C68" s="218" t="n"/>
      <c r="D68" s="218" t="n"/>
      <c r="E68" s="218" t="n"/>
      <c r="F68" s="218" t="n"/>
      <c r="G68" s="218" t="n"/>
      <c r="H68" s="218" t="n"/>
      <c r="I68" s="218" t="n"/>
      <c r="J68" s="218" t="n"/>
      <c r="K68" s="218" t="n"/>
      <c r="L68" s="218" t="n"/>
      <c r="M68" s="218" t="n"/>
      <c r="N68" s="218" t="n"/>
      <c r="O68" s="218" t="n"/>
      <c r="P68" s="218" t="n"/>
      <c r="Q68" s="218" t="n"/>
      <c r="R68" s="218" t="n"/>
      <c r="S68" s="218" t="n"/>
      <c r="T68" s="218" t="n"/>
      <c r="U68" s="218" t="n"/>
      <c r="V68" s="218" t="n"/>
      <c r="W68" s="218" t="n"/>
      <c r="X68" s="218" t="n"/>
      <c r="Y68" s="218" t="n"/>
      <c r="Z68" s="218" t="n"/>
      <c r="AA68" s="218" t="n"/>
      <c r="AB68" s="218" t="n"/>
      <c r="AC68" s="218" t="n"/>
      <c r="AD68" s="218" t="n"/>
      <c r="AE68" s="218" t="n"/>
      <c r="AF68" s="218" t="n"/>
      <c r="AG68" s="218" t="n"/>
      <c r="AH68" s="218" t="n"/>
      <c r="AI68" s="218" t="n"/>
      <c r="AJ68" s="218" t="n"/>
      <c r="AK68" s="218" t="n"/>
      <c r="AL68" s="218" t="n"/>
      <c r="AM68" s="218" t="n"/>
      <c r="AN68" s="218" t="n"/>
      <c r="AO68" s="218" t="n"/>
      <c r="AP68" s="218" t="n"/>
      <c r="AQ68" s="218" t="n"/>
      <c r="AR68" s="218" t="n"/>
      <c r="AS68" s="218" t="n"/>
      <c r="AT68" s="218" t="n"/>
      <c r="AU68" s="218" t="n"/>
      <c r="AV68" s="219" t="n"/>
    </row>
    <row r="69">
      <c r="A69" s="129" t="n"/>
      <c r="B69" s="129" t="n"/>
      <c r="C69" s="129" t="n"/>
      <c r="D69" s="129" t="n"/>
      <c r="E69" s="129" t="n"/>
      <c r="F69" s="129" t="n"/>
      <c r="G69" s="129" t="n"/>
      <c r="H69" s="129" t="n"/>
      <c r="I69" s="129" t="n"/>
      <c r="J69" s="129" t="n"/>
      <c r="K69" s="129" t="n"/>
      <c r="L69" s="129" t="n"/>
      <c r="M69" s="129" t="n"/>
      <c r="N69" s="129" t="n"/>
      <c r="O69" s="129" t="n"/>
      <c r="P69" s="129" t="n"/>
      <c r="Q69" s="129" t="n"/>
      <c r="R69" s="129" t="n"/>
      <c r="S69" s="129" t="n"/>
      <c r="T69" s="129" t="n"/>
      <c r="U69" s="129" t="n"/>
      <c r="V69" s="129" t="n"/>
      <c r="W69" s="129" t="n"/>
      <c r="X69" s="129" t="n"/>
      <c r="Y69" s="129" t="n"/>
      <c r="Z69" s="129" t="n"/>
      <c r="AA69" s="129" t="n"/>
      <c r="AB69" s="129" t="n"/>
      <c r="AC69" s="129" t="n"/>
      <c r="AD69" s="129" t="n"/>
      <c r="AE69" s="129" t="n"/>
      <c r="AF69" s="129" t="n"/>
      <c r="AG69" s="129" t="n"/>
      <c r="AH69" s="129" t="n"/>
      <c r="AI69" s="129" t="n"/>
      <c r="AJ69" s="129" t="n"/>
      <c r="AK69" s="129" t="n"/>
      <c r="AL69" s="129" t="n"/>
      <c r="AM69" s="129" t="n"/>
      <c r="AN69" s="129" t="n"/>
      <c r="AO69" s="129" t="n"/>
      <c r="AP69" s="129" t="n"/>
      <c r="AQ69" s="129" t="n"/>
      <c r="AR69" s="129" t="n"/>
      <c r="AS69" s="129" t="n"/>
      <c r="AT69" s="129" t="n"/>
      <c r="AU69" s="129" t="n"/>
      <c r="AV69" s="129" t="n"/>
    </row>
    <row r="70">
      <c r="A70" s="184" t="inlineStr">
        <is>
          <t>STEP 2 -- 2-VARIABLE DATA TABLE: FY2027 Total Net Sales growth % (rows) x Gross Margin % offset (columns) -&gt; Operating Income grid and EPS grid</t>
        </is>
      </c>
      <c r="B70" s="218" t="n"/>
      <c r="C70" s="218" t="n"/>
      <c r="D70" s="218" t="n"/>
      <c r="E70" s="218" t="n"/>
      <c r="F70" s="218" t="n"/>
      <c r="G70" s="218" t="n"/>
      <c r="H70" s="218" t="n"/>
      <c r="I70" s="218" t="n"/>
      <c r="J70" s="218" t="n"/>
      <c r="K70" s="218" t="n"/>
      <c r="L70" s="218" t="n"/>
      <c r="M70" s="218" t="n"/>
      <c r="N70" s="218" t="n"/>
      <c r="O70" s="218" t="n"/>
      <c r="P70" s="218" t="n"/>
      <c r="Q70" s="218" t="n"/>
      <c r="R70" s="218" t="n"/>
      <c r="S70" s="218" t="n"/>
      <c r="T70" s="218" t="n"/>
      <c r="U70" s="218" t="n"/>
      <c r="V70" s="218" t="n"/>
      <c r="W70" s="218" t="n"/>
      <c r="X70" s="218" t="n"/>
      <c r="Y70" s="218" t="n"/>
      <c r="Z70" s="218" t="n"/>
      <c r="AA70" s="218" t="n"/>
      <c r="AB70" s="218" t="n"/>
      <c r="AC70" s="218" t="n"/>
      <c r="AD70" s="218" t="n"/>
      <c r="AE70" s="218" t="n"/>
      <c r="AF70" s="218" t="n"/>
      <c r="AG70" s="218" t="n"/>
      <c r="AH70" s="218" t="n"/>
      <c r="AI70" s="218" t="n"/>
      <c r="AJ70" s="218" t="n"/>
      <c r="AK70" s="218" t="n"/>
      <c r="AL70" s="218" t="n"/>
      <c r="AM70" s="218" t="n"/>
      <c r="AN70" s="218" t="n"/>
      <c r="AO70" s="218" t="n"/>
      <c r="AP70" s="218" t="n"/>
      <c r="AQ70" s="218" t="n"/>
      <c r="AR70" s="218" t="n"/>
      <c r="AS70" s="218" t="n"/>
      <c r="AT70" s="218" t="n"/>
      <c r="AU70" s="218" t="n"/>
      <c r="AV70" s="219" t="n"/>
    </row>
    <row r="71" ht="42" customHeight="1">
      <c r="A71" s="154" t="inlineStr">
        <is>
          <t>Row axis: Total FY2027 Net Sales = (sum of the 5 segments' FY2026 Exit Run-Rate anchors) x (1+g), where g ranges around the Base blended growth rate implied by the Base scenario itself (computed below, not assumed). Products:Services revenue MIX is held at Base proportions across the whole row axis (only the total scales) -- distinct from Step 1's per-segment growth-rate isolation, per the simplification documented in row 6.</t>
        </is>
      </c>
      <c r="B71" s="218" t="n"/>
      <c r="C71" s="218" t="n"/>
      <c r="D71" s="218" t="n"/>
      <c r="E71" s="218" t="n"/>
      <c r="F71" s="218" t="n"/>
      <c r="G71" s="218" t="n"/>
      <c r="H71" s="218" t="n"/>
      <c r="I71" s="218" t="n"/>
      <c r="J71" s="218" t="n"/>
      <c r="K71" s="218" t="n"/>
      <c r="L71" s="218" t="n"/>
      <c r="M71" s="218" t="n"/>
      <c r="N71" s="218" t="n"/>
      <c r="O71" s="218" t="n"/>
      <c r="P71" s="218" t="n"/>
      <c r="Q71" s="218" t="n"/>
      <c r="R71" s="218" t="n"/>
      <c r="S71" s="218" t="n"/>
      <c r="T71" s="218" t="n"/>
      <c r="U71" s="218" t="n"/>
      <c r="V71" s="218" t="n"/>
      <c r="W71" s="218" t="n"/>
      <c r="X71" s="218" t="n"/>
      <c r="Y71" s="218" t="n"/>
      <c r="Z71" s="218" t="n"/>
      <c r="AA71" s="218" t="n"/>
      <c r="AB71" s="218" t="n"/>
      <c r="AC71" s="218" t="n"/>
      <c r="AD71" s="218" t="n"/>
      <c r="AE71" s="218" t="n"/>
      <c r="AF71" s="218" t="n"/>
      <c r="AG71" s="218" t="n"/>
      <c r="AH71" s="218" t="n"/>
      <c r="AI71" s="218" t="n"/>
      <c r="AJ71" s="218" t="n"/>
      <c r="AK71" s="218" t="n"/>
      <c r="AL71" s="218" t="n"/>
      <c r="AM71" s="218" t="n"/>
      <c r="AN71" s="218" t="n"/>
      <c r="AO71" s="218" t="n"/>
      <c r="AP71" s="218" t="n"/>
      <c r="AQ71" s="218" t="n"/>
      <c r="AR71" s="218" t="n"/>
      <c r="AS71" s="218" t="n"/>
      <c r="AT71" s="218" t="n"/>
      <c r="AU71" s="218" t="n"/>
      <c r="AV71" s="219" t="n"/>
    </row>
    <row r="72" ht="55" customHeight="1">
      <c r="A72" s="154" t="inlineStr">
        <is>
          <t>Column axis: a GM% OFFSET applied equally to Base Products GM% and Base Services GM% (same convention as Step 1's Gross Margin driver). OI(g,m) = ProductsRev(g)*(GMProductsBase+m) + ServicesRev(g)*(GMServicesBase+m) - RD$(g) - SGA$(g), each a real per-cell formula referencing the row's own helper columns (C:G) and the column's own GM-offset header cell. EPS(g,m) = OI(g,m)*(1-TaxBase)/SharesBase -- algebraically exact in this model (Net Income = OI*(1-tax rate), no other below-the-line items, per Task 12's own IS-tab design) -- so the EPS grid reuses the OI grid's own cells rather than recomputing Products/Services revenue a second time.</t>
        </is>
      </c>
      <c r="B72" s="218" t="n"/>
      <c r="C72" s="218" t="n"/>
      <c r="D72" s="218" t="n"/>
      <c r="E72" s="218" t="n"/>
      <c r="F72" s="218" t="n"/>
      <c r="G72" s="218" t="n"/>
      <c r="H72" s="218" t="n"/>
      <c r="I72" s="218" t="n"/>
      <c r="J72" s="218" t="n"/>
      <c r="K72" s="218" t="n"/>
      <c r="L72" s="218" t="n"/>
      <c r="M72" s="218" t="n"/>
      <c r="N72" s="218" t="n"/>
      <c r="O72" s="218" t="n"/>
      <c r="P72" s="218" t="n"/>
      <c r="Q72" s="218" t="n"/>
      <c r="R72" s="218" t="n"/>
      <c r="S72" s="218" t="n"/>
      <c r="T72" s="218" t="n"/>
      <c r="U72" s="218" t="n"/>
      <c r="V72" s="218" t="n"/>
      <c r="W72" s="218" t="n"/>
      <c r="X72" s="218" t="n"/>
      <c r="Y72" s="218" t="n"/>
      <c r="Z72" s="218" t="n"/>
      <c r="AA72" s="218" t="n"/>
      <c r="AB72" s="218" t="n"/>
      <c r="AC72" s="218" t="n"/>
      <c r="AD72" s="218" t="n"/>
      <c r="AE72" s="218" t="n"/>
      <c r="AF72" s="218" t="n"/>
      <c r="AG72" s="218" t="n"/>
      <c r="AH72" s="218" t="n"/>
      <c r="AI72" s="218" t="n"/>
      <c r="AJ72" s="218" t="n"/>
      <c r="AK72" s="218" t="n"/>
      <c r="AL72" s="218" t="n"/>
      <c r="AM72" s="218" t="n"/>
      <c r="AN72" s="218" t="n"/>
      <c r="AO72" s="218" t="n"/>
      <c r="AP72" s="218" t="n"/>
      <c r="AQ72" s="218" t="n"/>
      <c r="AR72" s="218" t="n"/>
      <c r="AS72" s="218" t="n"/>
      <c r="AT72" s="218" t="n"/>
      <c r="AU72" s="218" t="n"/>
      <c r="AV72" s="219" t="n"/>
    </row>
    <row r="73">
      <c r="A73" s="129" t="n"/>
      <c r="B73" s="129" t="n"/>
      <c r="C73" s="129" t="n"/>
      <c r="D73" s="129" t="n"/>
      <c r="E73" s="129" t="n"/>
      <c r="F73" s="129" t="n"/>
      <c r="G73" s="129" t="n"/>
      <c r="H73" s="129" t="n"/>
      <c r="I73" s="129" t="n"/>
      <c r="J73" s="129" t="n"/>
      <c r="K73" s="129" t="n"/>
      <c r="L73" s="129" t="n"/>
      <c r="M73" s="129" t="n"/>
      <c r="N73" s="129" t="n"/>
      <c r="O73" s="129" t="n"/>
      <c r="P73" s="129" t="n"/>
      <c r="Q73" s="129" t="n"/>
      <c r="R73" s="129" t="n"/>
      <c r="S73" s="129" t="n"/>
      <c r="T73" s="129" t="n"/>
      <c r="U73" s="129" t="n"/>
      <c r="V73" s="129" t="n"/>
      <c r="W73" s="129" t="n"/>
      <c r="X73" s="129" t="n"/>
      <c r="Y73" s="129" t="n"/>
      <c r="Z73" s="129" t="n"/>
      <c r="AA73" s="129" t="n"/>
      <c r="AB73" s="129" t="n"/>
      <c r="AC73" s="129" t="n"/>
      <c r="AD73" s="129" t="n"/>
      <c r="AE73" s="129" t="n"/>
      <c r="AF73" s="129" t="n"/>
      <c r="AG73" s="129" t="n"/>
      <c r="AH73" s="129" t="n"/>
      <c r="AI73" s="129" t="n"/>
      <c r="AJ73" s="129" t="n"/>
      <c r="AK73" s="129" t="n"/>
      <c r="AL73" s="129" t="n"/>
      <c r="AM73" s="129" t="n"/>
      <c r="AN73" s="129" t="n"/>
      <c r="AO73" s="129" t="n"/>
      <c r="AP73" s="129" t="n"/>
      <c r="AQ73" s="129" t="n"/>
      <c r="AR73" s="129" t="n"/>
      <c r="AS73" s="129" t="n"/>
      <c r="AT73" s="129" t="n"/>
      <c r="AU73" s="129" t="n"/>
      <c r="AV73" s="129" t="n"/>
    </row>
    <row r="74">
      <c r="A74" s="138" t="inlineStr">
        <is>
          <t>STEP 2 REFERENCE VALUES</t>
        </is>
      </c>
      <c r="B74" s="218" t="n"/>
      <c r="C74" s="218" t="n"/>
      <c r="D74" s="218" t="n"/>
      <c r="E74" s="218" t="n"/>
      <c r="F74" s="218" t="n"/>
      <c r="G74" s="218" t="n"/>
      <c r="H74" s="218" t="n"/>
      <c r="I74" s="218" t="n"/>
      <c r="J74" s="218" t="n"/>
      <c r="K74" s="218" t="n"/>
      <c r="L74" s="218" t="n"/>
      <c r="M74" s="218" t="n"/>
      <c r="N74" s="218" t="n"/>
      <c r="O74" s="218" t="n"/>
      <c r="P74" s="218" t="n"/>
      <c r="Q74" s="218" t="n"/>
      <c r="R74" s="218" t="n"/>
      <c r="S74" s="218" t="n"/>
      <c r="T74" s="218" t="n"/>
      <c r="U74" s="218" t="n"/>
      <c r="V74" s="218" t="n"/>
      <c r="W74" s="218" t="n"/>
      <c r="X74" s="218" t="n"/>
      <c r="Y74" s="218" t="n"/>
      <c r="Z74" s="218" t="n"/>
      <c r="AA74" s="218" t="n"/>
      <c r="AB74" s="218" t="n"/>
      <c r="AC74" s="218" t="n"/>
      <c r="AD74" s="218" t="n"/>
      <c r="AE74" s="218" t="n"/>
      <c r="AF74" s="218" t="n"/>
      <c r="AG74" s="218" t="n"/>
      <c r="AH74" s="218" t="n"/>
      <c r="AI74" s="218" t="n"/>
      <c r="AJ74" s="218" t="n"/>
      <c r="AK74" s="218" t="n"/>
      <c r="AL74" s="218" t="n"/>
      <c r="AM74" s="218" t="n"/>
      <c r="AN74" s="218" t="n"/>
      <c r="AO74" s="218" t="n"/>
      <c r="AP74" s="218" t="n"/>
      <c r="AQ74" s="218" t="n"/>
      <c r="AR74" s="218" t="n"/>
      <c r="AS74" s="218" t="n"/>
      <c r="AT74" s="218" t="n"/>
      <c r="AU74" s="218" t="n"/>
      <c r="AV74" s="219" t="n"/>
    </row>
    <row r="75">
      <c r="A75" s="182" t="inlineStr">
        <is>
          <t>Item</t>
        </is>
      </c>
      <c r="B75" s="182" t="inlineStr">
        <is>
          <t>Formula Basis</t>
        </is>
      </c>
      <c r="C75" s="182" t="inlineStr">
        <is>
          <t>Value</t>
        </is>
      </c>
      <c r="D75" s="129" t="n"/>
      <c r="E75" s="129" t="n"/>
      <c r="F75" s="129" t="n"/>
      <c r="G75" s="129" t="n"/>
      <c r="H75" s="129" t="n"/>
      <c r="I75" s="129" t="n"/>
      <c r="J75" s="129" t="n"/>
      <c r="K75" s="129" t="n"/>
      <c r="L75" s="129" t="n"/>
      <c r="M75" s="129" t="n"/>
      <c r="N75" s="129" t="n"/>
      <c r="O75" s="129" t="n"/>
      <c r="P75" s="129" t="n"/>
      <c r="Q75" s="129" t="n"/>
      <c r="R75" s="129" t="n"/>
      <c r="S75" s="129" t="n"/>
      <c r="T75" s="129" t="n"/>
      <c r="U75" s="129" t="n"/>
      <c r="V75" s="129" t="n"/>
      <c r="W75" s="129" t="n"/>
      <c r="X75" s="129" t="n"/>
      <c r="Y75" s="129" t="n"/>
      <c r="Z75" s="129" t="n"/>
      <c r="AA75" s="129" t="n"/>
      <c r="AB75" s="129" t="n"/>
      <c r="AC75" s="129" t="n"/>
      <c r="AD75" s="129" t="n"/>
      <c r="AE75" s="129" t="n"/>
      <c r="AF75" s="129" t="n"/>
      <c r="AG75" s="129" t="n"/>
      <c r="AH75" s="129" t="n"/>
      <c r="AI75" s="129" t="n"/>
      <c r="AJ75" s="129" t="n"/>
      <c r="AK75" s="129" t="n"/>
      <c r="AL75" s="129" t="n"/>
      <c r="AM75" s="129" t="n"/>
      <c r="AN75" s="129" t="n"/>
      <c r="AO75" s="129" t="n"/>
      <c r="AP75" s="129" t="n"/>
      <c r="AQ75" s="129" t="n"/>
      <c r="AR75" s="129" t="n"/>
      <c r="AS75" s="129" t="n"/>
      <c r="AT75" s="129" t="n"/>
      <c r="AU75" s="129" t="n"/>
      <c r="AV75" s="129" t="n"/>
    </row>
    <row r="76">
      <c r="A76" s="127" t="inlineStr">
        <is>
          <t>Total FY2026 Exit Run-Rate anchor (sum of 5 segments) ($M)</t>
        </is>
      </c>
      <c r="B76" s="169" t="inlineStr">
        <is>
          <t>sum of C11:C15</t>
        </is>
      </c>
      <c r="C76" s="146">
        <f>SUM(C11:C15)</f>
        <v>458197.970972435</v>
      </c>
      <c r="D76" s="129" t="n"/>
      <c r="E76" s="129" t="n"/>
      <c r="F76" s="129" t="n"/>
      <c r="G76" s="129" t="n"/>
      <c r="H76" s="129" t="n"/>
      <c r="I76" s="129" t="n"/>
      <c r="J76" s="129" t="n"/>
      <c r="K76" s="129" t="n"/>
      <c r="L76" s="129" t="n"/>
      <c r="M76" s="129" t="n"/>
      <c r="N76" s="129" t="n"/>
      <c r="O76" s="129" t="n"/>
      <c r="P76" s="129" t="n"/>
      <c r="Q76" s="129" t="n"/>
      <c r="R76" s="129" t="n"/>
      <c r="S76" s="129" t="n"/>
      <c r="T76" s="129" t="n"/>
      <c r="U76" s="129" t="n"/>
      <c r="V76" s="129" t="n"/>
      <c r="W76" s="129" t="n"/>
      <c r="X76" s="129" t="n"/>
      <c r="Y76" s="129" t="n"/>
      <c r="Z76" s="129" t="n"/>
      <c r="AA76" s="129" t="n"/>
      <c r="AB76" s="129" t="n"/>
      <c r="AC76" s="129" t="n"/>
      <c r="AD76" s="129" t="n"/>
      <c r="AE76" s="129" t="n"/>
      <c r="AF76" s="129" t="n"/>
      <c r="AG76" s="129" t="n"/>
      <c r="AH76" s="129" t="n"/>
      <c r="AI76" s="129" t="n"/>
      <c r="AJ76" s="129" t="n"/>
      <c r="AK76" s="129" t="n"/>
      <c r="AL76" s="129" t="n"/>
      <c r="AM76" s="129" t="n"/>
      <c r="AN76" s="129" t="n"/>
      <c r="AO76" s="129" t="n"/>
      <c r="AP76" s="129" t="n"/>
      <c r="AQ76" s="129" t="n"/>
      <c r="AR76" s="129" t="n"/>
      <c r="AS76" s="129" t="n"/>
      <c r="AT76" s="129" t="n"/>
      <c r="AU76" s="129" t="n"/>
      <c r="AV76" s="129" t="n"/>
    </row>
    <row r="77">
      <c r="A77" s="127" t="inlineStr">
        <is>
          <t>Base FY2027 Total Net Sales growth % (vs. FY2026 Exit Run-Rate anchor)</t>
        </is>
      </c>
      <c r="B77" s="169" t="inlineStr">
        <is>
          <t>Q52/{anchor}-1</t>
        </is>
      </c>
      <c r="C77" s="142">
        <f>Q52/$C$76-1</f>
        <v>0.0314658323960912</v>
      </c>
      <c r="D77" s="129" t="n"/>
      <c r="E77" s="129" t="n"/>
      <c r="F77" s="129" t="n"/>
      <c r="G77" s="129" t="n"/>
      <c r="H77" s="129" t="n"/>
      <c r="I77" s="129" t="n"/>
      <c r="J77" s="129" t="n"/>
      <c r="K77" s="129" t="n"/>
      <c r="L77" s="129" t="n"/>
      <c r="M77" s="129" t="n"/>
      <c r="N77" s="129" t="n"/>
      <c r="O77" s="129" t="n"/>
      <c r="P77" s="129" t="n"/>
      <c r="Q77" s="129" t="n"/>
      <c r="R77" s="129" t="n"/>
      <c r="S77" s="129" t="n"/>
      <c r="T77" s="129" t="n"/>
      <c r="U77" s="129" t="n"/>
      <c r="V77" s="129" t="n"/>
      <c r="W77" s="129" t="n"/>
      <c r="X77" s="129" t="n"/>
      <c r="Y77" s="129" t="n"/>
      <c r="Z77" s="129" t="n"/>
      <c r="AA77" s="129" t="n"/>
      <c r="AB77" s="129" t="n"/>
      <c r="AC77" s="129" t="n"/>
      <c r="AD77" s="129" t="n"/>
      <c r="AE77" s="129" t="n"/>
      <c r="AF77" s="129" t="n"/>
      <c r="AG77" s="129" t="n"/>
      <c r="AH77" s="129" t="n"/>
      <c r="AI77" s="129" t="n"/>
      <c r="AJ77" s="129" t="n"/>
      <c r="AK77" s="129" t="n"/>
      <c r="AL77" s="129" t="n"/>
      <c r="AM77" s="129" t="n"/>
      <c r="AN77" s="129" t="n"/>
      <c r="AO77" s="129" t="n"/>
      <c r="AP77" s="129" t="n"/>
      <c r="AQ77" s="129" t="n"/>
      <c r="AR77" s="129" t="n"/>
      <c r="AS77" s="129" t="n"/>
      <c r="AT77" s="129" t="n"/>
      <c r="AU77" s="129" t="n"/>
      <c r="AV77" s="129" t="n"/>
    </row>
    <row r="78">
      <c r="A78" s="127" t="inlineStr">
        <is>
          <t>Base Products Revenue share of Total Net Sales</t>
        </is>
      </c>
      <c r="B78" s="169" t="inlineStr">
        <is>
          <t>R52/Q52</t>
        </is>
      </c>
      <c r="C78" s="142">
        <f>R52/Q52</f>
        <v>0.708394970396198</v>
      </c>
      <c r="D78" s="129" t="n"/>
      <c r="E78" s="129" t="n"/>
      <c r="F78" s="129" t="n"/>
      <c r="G78" s="129" t="n"/>
      <c r="H78" s="129" t="n"/>
      <c r="I78" s="129" t="n"/>
      <c r="J78" s="129" t="n"/>
      <c r="K78" s="129" t="n"/>
      <c r="L78" s="129" t="n"/>
      <c r="M78" s="129" t="n"/>
      <c r="N78" s="129" t="n"/>
      <c r="O78" s="129" t="n"/>
      <c r="P78" s="129" t="n"/>
      <c r="Q78" s="129" t="n"/>
      <c r="R78" s="129" t="n"/>
      <c r="S78" s="129" t="n"/>
      <c r="T78" s="129" t="n"/>
      <c r="U78" s="129" t="n"/>
      <c r="V78" s="129" t="n"/>
      <c r="W78" s="129" t="n"/>
      <c r="X78" s="129" t="n"/>
      <c r="Y78" s="129" t="n"/>
      <c r="Z78" s="129" t="n"/>
      <c r="AA78" s="129" t="n"/>
      <c r="AB78" s="129" t="n"/>
      <c r="AC78" s="129" t="n"/>
      <c r="AD78" s="129" t="n"/>
      <c r="AE78" s="129" t="n"/>
      <c r="AF78" s="129" t="n"/>
      <c r="AG78" s="129" t="n"/>
      <c r="AH78" s="129" t="n"/>
      <c r="AI78" s="129" t="n"/>
      <c r="AJ78" s="129" t="n"/>
      <c r="AK78" s="129" t="n"/>
      <c r="AL78" s="129" t="n"/>
      <c r="AM78" s="129" t="n"/>
      <c r="AN78" s="129" t="n"/>
      <c r="AO78" s="129" t="n"/>
      <c r="AP78" s="129" t="n"/>
      <c r="AQ78" s="129" t="n"/>
      <c r="AR78" s="129" t="n"/>
      <c r="AS78" s="129" t="n"/>
      <c r="AT78" s="129" t="n"/>
      <c r="AU78" s="129" t="n"/>
      <c r="AV78" s="129" t="n"/>
    </row>
    <row r="79">
      <c r="A79" s="127" t="inlineStr">
        <is>
          <t>Base Services Revenue share of Total Net Sales</t>
        </is>
      </c>
      <c r="B79" s="169" t="inlineStr">
        <is>
          <t>P52/Q52</t>
        </is>
      </c>
      <c r="C79" s="142">
        <f>P52/Q52</f>
        <v>0.291605029603802</v>
      </c>
      <c r="D79" s="129" t="n"/>
      <c r="E79" s="129" t="n"/>
      <c r="F79" s="129" t="n"/>
      <c r="G79" s="129" t="n"/>
      <c r="H79" s="129" t="n"/>
      <c r="I79" s="129" t="n"/>
      <c r="J79" s="129" t="n"/>
      <c r="K79" s="129" t="n"/>
      <c r="L79" s="129" t="n"/>
      <c r="M79" s="129" t="n"/>
      <c r="N79" s="129" t="n"/>
      <c r="O79" s="129" t="n"/>
      <c r="P79" s="129" t="n"/>
      <c r="Q79" s="129" t="n"/>
      <c r="R79" s="129" t="n"/>
      <c r="S79" s="129" t="n"/>
      <c r="T79" s="129" t="n"/>
      <c r="U79" s="129" t="n"/>
      <c r="V79" s="129" t="n"/>
      <c r="W79" s="129" t="n"/>
      <c r="X79" s="129" t="n"/>
      <c r="Y79" s="129" t="n"/>
      <c r="Z79" s="129" t="n"/>
      <c r="AA79" s="129" t="n"/>
      <c r="AB79" s="129" t="n"/>
      <c r="AC79" s="129" t="n"/>
      <c r="AD79" s="129" t="n"/>
      <c r="AE79" s="129" t="n"/>
      <c r="AF79" s="129" t="n"/>
      <c r="AG79" s="129" t="n"/>
      <c r="AH79" s="129" t="n"/>
      <c r="AI79" s="129" t="n"/>
      <c r="AJ79" s="129" t="n"/>
      <c r="AK79" s="129" t="n"/>
      <c r="AL79" s="129" t="n"/>
      <c r="AM79" s="129" t="n"/>
      <c r="AN79" s="129" t="n"/>
      <c r="AO79" s="129" t="n"/>
      <c r="AP79" s="129" t="n"/>
      <c r="AQ79" s="129" t="n"/>
      <c r="AR79" s="129" t="n"/>
      <c r="AS79" s="129" t="n"/>
      <c r="AT79" s="129" t="n"/>
      <c r="AU79" s="129" t="n"/>
      <c r="AV79" s="129" t="n"/>
    </row>
    <row r="80">
      <c r="A80" s="164" t="inlineStr">
        <is>
          <t>Row step size (Revenue growth %, per row, +/-) -- editable input:</t>
        </is>
      </c>
      <c r="B80" s="129" t="n"/>
      <c r="C80" s="141" t="n">
        <v>0.01</v>
      </c>
      <c r="D80" s="129" t="n"/>
      <c r="E80" s="129" t="n"/>
      <c r="F80" s="129" t="n"/>
      <c r="G80" s="129" t="n"/>
      <c r="H80" s="129" t="n"/>
      <c r="I80" s="129" t="n"/>
      <c r="J80" s="129" t="n"/>
      <c r="K80" s="129" t="n"/>
      <c r="L80" s="129" t="n"/>
      <c r="M80" s="129" t="n"/>
      <c r="N80" s="129" t="n"/>
      <c r="O80" s="129" t="n"/>
      <c r="P80" s="129" t="n"/>
      <c r="Q80" s="129" t="n"/>
      <c r="R80" s="129" t="n"/>
      <c r="S80" s="129" t="n"/>
      <c r="T80" s="129" t="n"/>
      <c r="U80" s="129" t="n"/>
      <c r="V80" s="129" t="n"/>
      <c r="W80" s="129" t="n"/>
      <c r="X80" s="129" t="n"/>
      <c r="Y80" s="129" t="n"/>
      <c r="Z80" s="129" t="n"/>
      <c r="AA80" s="129" t="n"/>
      <c r="AB80" s="129" t="n"/>
      <c r="AC80" s="129" t="n"/>
      <c r="AD80" s="129" t="n"/>
      <c r="AE80" s="129" t="n"/>
      <c r="AF80" s="129" t="n"/>
      <c r="AG80" s="129" t="n"/>
      <c r="AH80" s="129" t="n"/>
      <c r="AI80" s="129" t="n"/>
      <c r="AJ80" s="129" t="n"/>
      <c r="AK80" s="129" t="n"/>
      <c r="AL80" s="129" t="n"/>
      <c r="AM80" s="129" t="n"/>
      <c r="AN80" s="129" t="n"/>
      <c r="AO80" s="129" t="n"/>
      <c r="AP80" s="129" t="n"/>
      <c r="AQ80" s="129" t="n"/>
      <c r="AR80" s="129" t="n"/>
      <c r="AS80" s="129" t="n"/>
      <c r="AT80" s="129" t="n"/>
      <c r="AU80" s="129" t="n"/>
      <c r="AV80" s="129" t="n"/>
    </row>
    <row r="81">
      <c r="A81" s="164" t="inlineStr">
        <is>
          <t>Column step size (Gross Margin % offset, per column, +/-) -- editable input:</t>
        </is>
      </c>
      <c r="B81" s="129" t="n"/>
      <c r="C81" s="141" t="n">
        <v>0.01</v>
      </c>
      <c r="D81" s="129" t="n"/>
      <c r="E81" s="129" t="n"/>
      <c r="F81" s="129" t="n"/>
      <c r="G81" s="129" t="n"/>
      <c r="H81" s="129" t="n"/>
      <c r="I81" s="129" t="n"/>
      <c r="J81" s="129" t="n"/>
      <c r="K81" s="129" t="n"/>
      <c r="L81" s="129" t="n"/>
      <c r="M81" s="129" t="n"/>
      <c r="N81" s="129" t="n"/>
      <c r="O81" s="129" t="n"/>
      <c r="P81" s="129" t="n"/>
      <c r="Q81" s="129" t="n"/>
      <c r="R81" s="129" t="n"/>
      <c r="S81" s="129" t="n"/>
      <c r="T81" s="129" t="n"/>
      <c r="U81" s="129" t="n"/>
      <c r="V81" s="129" t="n"/>
      <c r="W81" s="129" t="n"/>
      <c r="X81" s="129" t="n"/>
      <c r="Y81" s="129" t="n"/>
      <c r="Z81" s="129" t="n"/>
      <c r="AA81" s="129" t="n"/>
      <c r="AB81" s="129" t="n"/>
      <c r="AC81" s="129" t="n"/>
      <c r="AD81" s="129" t="n"/>
      <c r="AE81" s="129" t="n"/>
      <c r="AF81" s="129" t="n"/>
      <c r="AG81" s="129" t="n"/>
      <c r="AH81" s="129" t="n"/>
      <c r="AI81" s="129" t="n"/>
      <c r="AJ81" s="129" t="n"/>
      <c r="AK81" s="129" t="n"/>
      <c r="AL81" s="129" t="n"/>
      <c r="AM81" s="129" t="n"/>
      <c r="AN81" s="129" t="n"/>
      <c r="AO81" s="129" t="n"/>
      <c r="AP81" s="129" t="n"/>
      <c r="AQ81" s="129" t="n"/>
      <c r="AR81" s="129" t="n"/>
      <c r="AS81" s="129" t="n"/>
      <c r="AT81" s="129" t="n"/>
      <c r="AU81" s="129" t="n"/>
      <c r="AV81" s="129" t="n"/>
    </row>
    <row r="82">
      <c r="A82" s="129" t="n"/>
      <c r="B82" s="129" t="n"/>
      <c r="C82" s="129" t="n"/>
      <c r="D82" s="129" t="n"/>
      <c r="E82" s="129" t="n"/>
      <c r="F82" s="129" t="n"/>
      <c r="G82" s="129" t="n"/>
      <c r="H82" s="129" t="n"/>
      <c r="I82" s="129" t="n"/>
      <c r="J82" s="129" t="n"/>
      <c r="K82" s="129" t="n"/>
      <c r="L82" s="129" t="n"/>
      <c r="M82" s="129" t="n"/>
      <c r="N82" s="129" t="n"/>
      <c r="O82" s="129" t="n"/>
      <c r="P82" s="129" t="n"/>
      <c r="Q82" s="129" t="n"/>
      <c r="R82" s="129" t="n"/>
      <c r="S82" s="129" t="n"/>
      <c r="T82" s="129" t="n"/>
      <c r="U82" s="129" t="n"/>
      <c r="V82" s="129" t="n"/>
      <c r="W82" s="129" t="n"/>
      <c r="X82" s="129" t="n"/>
      <c r="Y82" s="129" t="n"/>
      <c r="Z82" s="129" t="n"/>
      <c r="AA82" s="129" t="n"/>
      <c r="AB82" s="129" t="n"/>
      <c r="AC82" s="129" t="n"/>
      <c r="AD82" s="129" t="n"/>
      <c r="AE82" s="129" t="n"/>
      <c r="AF82" s="129" t="n"/>
      <c r="AG82" s="129" t="n"/>
      <c r="AH82" s="129" t="n"/>
      <c r="AI82" s="129" t="n"/>
      <c r="AJ82" s="129" t="n"/>
      <c r="AK82" s="129" t="n"/>
      <c r="AL82" s="129" t="n"/>
      <c r="AM82" s="129" t="n"/>
      <c r="AN82" s="129" t="n"/>
      <c r="AO82" s="129" t="n"/>
      <c r="AP82" s="129" t="n"/>
      <c r="AQ82" s="129" t="n"/>
      <c r="AR82" s="129" t="n"/>
      <c r="AS82" s="129" t="n"/>
      <c r="AT82" s="129" t="n"/>
      <c r="AU82" s="129" t="n"/>
      <c r="AV82" s="129" t="n"/>
    </row>
    <row r="83">
      <c r="A83" s="197" t="inlineStr">
        <is>
          <t>Revenue Growth % (rows) \ GM% offset (columns) --&gt;</t>
        </is>
      </c>
      <c r="B83" s="162" t="inlineStr">
        <is>
          <t>g (growth rate)</t>
        </is>
      </c>
      <c r="C83" s="162" t="inlineStr">
        <is>
          <t>Total Net
Sales ($M)</t>
        </is>
      </c>
      <c r="D83" s="162" t="inlineStr">
        <is>
          <t>Products
Rev ($M)</t>
        </is>
      </c>
      <c r="E83" s="162" t="inlineStr">
        <is>
          <t>Services
Rev ($M)</t>
        </is>
      </c>
      <c r="F83" s="162" t="inlineStr">
        <is>
          <t>R&amp;D $
($M)</t>
        </is>
      </c>
      <c r="G83" s="162" t="inlineStr">
        <is>
          <t>SG&amp;A $
($M)</t>
        </is>
      </c>
      <c r="H83" s="129" t="n"/>
      <c r="I83" s="198" t="inlineStr">
        <is>
          <t>OPERATING INCOME GRID ($M) -- GM% offset --&gt;</t>
        </is>
      </c>
      <c r="J83" s="219" t="n"/>
      <c r="K83" s="129" t="n"/>
      <c r="L83" s="129" t="n"/>
      <c r="M83" s="129" t="n"/>
      <c r="N83" s="129" t="n"/>
      <c r="O83" s="198" t="inlineStr">
        <is>
          <t>EPS GRID ($/sh) -- GM% offset --&gt;</t>
        </is>
      </c>
      <c r="P83" s="219" t="n"/>
      <c r="Q83" s="129" t="n"/>
      <c r="R83" s="129" t="n"/>
      <c r="S83" s="129" t="n"/>
      <c r="T83" s="129" t="n"/>
      <c r="U83" s="129" t="n"/>
      <c r="V83" s="129" t="n"/>
      <c r="W83" s="129" t="n"/>
      <c r="X83" s="129" t="n"/>
      <c r="Y83" s="129" t="n"/>
      <c r="Z83" s="129" t="n"/>
      <c r="AA83" s="129" t="n"/>
      <c r="AB83" s="129" t="n"/>
      <c r="AC83" s="129" t="n"/>
      <c r="AD83" s="129" t="n"/>
      <c r="AE83" s="129" t="n"/>
      <c r="AF83" s="129" t="n"/>
      <c r="AG83" s="129" t="n"/>
      <c r="AH83" s="129" t="n"/>
      <c r="AI83" s="129" t="n"/>
      <c r="AJ83" s="129" t="n"/>
      <c r="AK83" s="129" t="n"/>
      <c r="AL83" s="129" t="n"/>
      <c r="AM83" s="129" t="n"/>
      <c r="AN83" s="129" t="n"/>
      <c r="AO83" s="129" t="n"/>
      <c r="AP83" s="129" t="n"/>
      <c r="AQ83" s="129" t="n"/>
      <c r="AR83" s="129" t="n"/>
      <c r="AS83" s="129" t="n"/>
      <c r="AT83" s="129" t="n"/>
      <c r="AU83" s="129" t="n"/>
      <c r="AV83" s="129" t="n"/>
    </row>
    <row r="84" ht="30" customHeight="1">
      <c r="A84" s="162" t="inlineStr">
        <is>
          <t>Growth Scenario</t>
        </is>
      </c>
      <c r="B84" s="199" t="inlineStr"/>
      <c r="C84" s="199" t="inlineStr"/>
      <c r="D84" s="199" t="inlineStr"/>
      <c r="E84" s="199" t="inlineStr"/>
      <c r="F84" s="199" t="inlineStr"/>
      <c r="G84" s="199" t="inlineStr"/>
      <c r="H84" s="129" t="n"/>
      <c r="I84" s="168" t="str">
        <f>"-2pt ("&amp;TEXT($C$34+-2*$C$81,"0.0%")&amp;"/"&amp;TEXT($C$35+-2*$C$81,"0.0%")&amp;")"</f>
        <v>-2pt (35.0%/73.5%)</v>
      </c>
      <c r="J84" s="168" t="str">
        <f>"-1pt ("&amp;TEXT($C$34+-1*$C$81,"0.0%")&amp;"/"&amp;TEXT($C$35+-1*$C$81,"0.0%")&amp;")"</f>
        <v>-1pt (36.0%/74.5%)</v>
      </c>
      <c r="K84" s="168" t="str">
        <f>"Base ("&amp;TEXT($C$34+0*$C$81,"0.0%")&amp;"/"&amp;TEXT($C$35+0*$C$81,"0.0%")&amp;")"</f>
        <v>Base (37.0%/75.5%)</v>
      </c>
      <c r="L84" s="168" t="str">
        <f>"+1pt ("&amp;TEXT($C$34+1*$C$81,"0.0%")&amp;"/"&amp;TEXT($C$35+1*$C$81,"0.0%")&amp;")"</f>
        <v>+1pt (38.0%/76.5%)</v>
      </c>
      <c r="M84" s="168" t="str">
        <f>"+2pt ("&amp;TEXT($C$34+2*$C$81,"0.0%")&amp;"/"&amp;TEXT($C$35+2*$C$81,"0.0%")&amp;")"</f>
        <v>+2pt (39.0%/77.5%)</v>
      </c>
      <c r="N84" s="129" t="n"/>
      <c r="O84" s="168" t="str">
        <f>"-2pt ("&amp;TEXT($C$34+-2*$C$81,"0.0%")&amp;"/"&amp;TEXT($C$35+-2*$C$81,"0.0%")&amp;")"</f>
        <v>-2pt (35.0%/73.5%)</v>
      </c>
      <c r="P84" s="168" t="str">
        <f>"-1pt ("&amp;TEXT($C$34+-1*$C$81,"0.0%")&amp;"/"&amp;TEXT($C$35+-1*$C$81,"0.0%")&amp;")"</f>
        <v>-1pt (36.0%/74.5%)</v>
      </c>
      <c r="Q84" s="168" t="str">
        <f>"Base ("&amp;TEXT($C$34+0*$C$81,"0.0%")&amp;"/"&amp;TEXT($C$35+0*$C$81,"0.0%")&amp;")"</f>
        <v>Base (37.0%/75.5%)</v>
      </c>
      <c r="R84" s="168" t="str">
        <f>"+1pt ("&amp;TEXT($C$34+1*$C$81,"0.0%")&amp;"/"&amp;TEXT($C$35+1*$C$81,"0.0%")&amp;")"</f>
        <v>+1pt (38.0%/76.5%)</v>
      </c>
      <c r="S84" s="168" t="str">
        <f>"+2pt ("&amp;TEXT($C$34+2*$C$81,"0.0%")&amp;"/"&amp;TEXT($C$35+2*$C$81,"0.0%")&amp;")"</f>
        <v>+2pt (39.0%/77.5%)</v>
      </c>
      <c r="T84" s="129" t="n"/>
      <c r="U84" s="129" t="n"/>
      <c r="V84" s="129" t="n"/>
      <c r="W84" s="129" t="n"/>
      <c r="X84" s="129" t="n"/>
      <c r="Y84" s="129" t="n"/>
      <c r="Z84" s="129" t="n"/>
      <c r="AA84" s="129" t="n"/>
      <c r="AB84" s="129" t="n"/>
      <c r="AC84" s="129" t="n"/>
      <c r="AD84" s="129" t="n"/>
      <c r="AE84" s="129" t="n"/>
      <c r="AF84" s="129" t="n"/>
      <c r="AG84" s="129" t="n"/>
      <c r="AH84" s="129" t="n"/>
      <c r="AI84" s="129" t="n"/>
      <c r="AJ84" s="129" t="n"/>
      <c r="AK84" s="129" t="n"/>
      <c r="AL84" s="129" t="n"/>
      <c r="AM84" s="129" t="n"/>
      <c r="AN84" s="129" t="n"/>
      <c r="AO84" s="129" t="n"/>
      <c r="AP84" s="129" t="n"/>
      <c r="AQ84" s="129" t="n"/>
      <c r="AR84" s="129" t="n"/>
      <c r="AS84" s="129" t="n"/>
      <c r="AT84" s="129" t="n"/>
      <c r="AU84" s="129" t="n"/>
      <c r="AV84" s="129" t="n"/>
    </row>
    <row r="85">
      <c r="A85" s="127" t="inlineStr">
        <is>
          <t>Base -3pt</t>
        </is>
      </c>
      <c r="B85" s="142">
        <f>$C$77+-3*$C$80</f>
        <v>0.00146583239609124</v>
      </c>
      <c r="C85" s="146">
        <f>$C$76*(1+B85)</f>
        <v>458869.612402109</v>
      </c>
      <c r="D85" s="146">
        <f>C85*$C$78</f>
        <v>325060.925493307</v>
      </c>
      <c r="E85" s="146">
        <f>C85*$C$79</f>
        <v>133808.686908802</v>
      </c>
      <c r="F85" s="146">
        <f>C85*$C$37</f>
        <v>38086.1778293751</v>
      </c>
      <c r="G85" s="146">
        <f>C85*$C$36</f>
        <v>30285.3944185392</v>
      </c>
      <c r="H85" s="129" t="n"/>
      <c r="I85" s="146">
        <f>D85*($C$34+-2*$C$81)+E85*($C$35+-2*$C$81)-F85-G85</f>
        <v>143749.136552713</v>
      </c>
      <c r="J85" s="146">
        <f>D85*($C$34+-1*$C$81)+E85*($C$35+-1*$C$81)-F85-G85</f>
        <v>148337.832676734</v>
      </c>
      <c r="K85" s="146">
        <f>D85*($C$34+0*$C$81)+E85*($C$35+0*$C$81)-F85-G85</f>
        <v>152926.528800755</v>
      </c>
      <c r="L85" s="146">
        <f>D85*($C$34+1*$C$81)+E85*($C$35+1*$C$81)-F85-G85</f>
        <v>157515.224924776</v>
      </c>
      <c r="M85" s="146">
        <f>D85*($C$34+2*$C$81)+E85*($C$35+2*$C$81)-F85-G85</f>
        <v>162103.921048797</v>
      </c>
      <c r="N85" s="129" t="n"/>
      <c r="O85" s="148">
        <f>I85*(1-$C$44)/$C$17</f>
        <v>8.20562722819664</v>
      </c>
      <c r="P85" s="148">
        <f>J85*(1-$C$44)/$C$17</f>
        <v>8.46756361793892</v>
      </c>
      <c r="Q85" s="148">
        <f>K85*(1-$C$44)/$C$17</f>
        <v>8.72950000768121</v>
      </c>
      <c r="R85" s="148">
        <f>L85*(1-$C$44)/$C$17</f>
        <v>8.99143639742349</v>
      </c>
      <c r="S85" s="148">
        <f>M85*(1-$C$44)/$C$17</f>
        <v>9.25337278716577</v>
      </c>
      <c r="T85" s="129" t="n"/>
      <c r="U85" s="129" t="n"/>
      <c r="V85" s="129" t="n"/>
      <c r="W85" s="129" t="n"/>
      <c r="X85" s="129" t="n"/>
      <c r="Y85" s="129" t="n"/>
      <c r="Z85" s="129" t="n"/>
      <c r="AA85" s="129" t="n"/>
      <c r="AB85" s="129" t="n"/>
      <c r="AC85" s="129" t="n"/>
      <c r="AD85" s="129" t="n"/>
      <c r="AE85" s="129" t="n"/>
      <c r="AF85" s="129" t="n"/>
      <c r="AG85" s="129" t="n"/>
      <c r="AH85" s="129" t="n"/>
      <c r="AI85" s="129" t="n"/>
      <c r="AJ85" s="129" t="n"/>
      <c r="AK85" s="129" t="n"/>
      <c r="AL85" s="129" t="n"/>
      <c r="AM85" s="129" t="n"/>
      <c r="AN85" s="129" t="n"/>
      <c r="AO85" s="129" t="n"/>
      <c r="AP85" s="129" t="n"/>
      <c r="AQ85" s="129" t="n"/>
      <c r="AR85" s="129" t="n"/>
      <c r="AS85" s="129" t="n"/>
      <c r="AT85" s="129" t="n"/>
      <c r="AU85" s="129" t="n"/>
      <c r="AV85" s="129" t="n"/>
    </row>
    <row r="86">
      <c r="A86" s="127" t="inlineStr">
        <is>
          <t>Base -2pt</t>
        </is>
      </c>
      <c r="B86" s="142">
        <f>$C$77+-2*$C$80</f>
        <v>0.0114658323960912</v>
      </c>
      <c r="C86" s="146">
        <f>$C$76*(1+B86)</f>
        <v>463451.592111834</v>
      </c>
      <c r="D86" s="146">
        <f>C86*$C$78</f>
        <v>328306.776874133</v>
      </c>
      <c r="E86" s="146">
        <f>C86*$C$79</f>
        <v>135144.8152377</v>
      </c>
      <c r="F86" s="146">
        <f>C86*$C$37</f>
        <v>38466.4821452822</v>
      </c>
      <c r="G86" s="146">
        <f>C86*$C$36</f>
        <v>30587.805079381</v>
      </c>
      <c r="H86" s="129" t="n"/>
      <c r="I86" s="146">
        <f>D86*($C$34+-2*$C$81)+E86*($C$35+-2*$C$81)-F86-G86</f>
        <v>145184.523880993</v>
      </c>
      <c r="J86" s="146">
        <f>D86*($C$34+-1*$C$81)+E86*($C$35+-1*$C$81)-F86-G86</f>
        <v>149819.039802112</v>
      </c>
      <c r="K86" s="146">
        <f>D86*($C$34+0*$C$81)+E86*($C$35+0*$C$81)-F86-G86</f>
        <v>154453.55572323</v>
      </c>
      <c r="L86" s="146">
        <f>D86*($C$34+1*$C$81)+E86*($C$35+1*$C$81)-F86-G86</f>
        <v>159088.071644348</v>
      </c>
      <c r="M86" s="146">
        <f>D86*($C$34+2*$C$81)+E86*($C$35+2*$C$81)-F86-G86</f>
        <v>163722.587565467</v>
      </c>
      <c r="N86" s="129" t="n"/>
      <c r="O86" s="148">
        <f>I86*(1-$C$44)/$C$17</f>
        <v>8.28756339578974</v>
      </c>
      <c r="P86" s="148">
        <f>J86*(1-$C$44)/$C$17</f>
        <v>8.55211531550088</v>
      </c>
      <c r="Q86" s="148">
        <f>K86*(1-$C$44)/$C$17</f>
        <v>8.81666723521203</v>
      </c>
      <c r="R86" s="148">
        <f>L86*(1-$C$44)/$C$17</f>
        <v>9.08121915492317</v>
      </c>
      <c r="S86" s="148">
        <f>M86*(1-$C$44)/$C$17</f>
        <v>9.34577107463432</v>
      </c>
      <c r="T86" s="129" t="n"/>
      <c r="U86" s="129" t="n"/>
      <c r="V86" s="129" t="n"/>
      <c r="W86" s="129" t="n"/>
      <c r="X86" s="129" t="n"/>
      <c r="Y86" s="129" t="n"/>
      <c r="Z86" s="129" t="n"/>
      <c r="AA86" s="129" t="n"/>
      <c r="AB86" s="129" t="n"/>
      <c r="AC86" s="129" t="n"/>
      <c r="AD86" s="129" t="n"/>
      <c r="AE86" s="129" t="n"/>
      <c r="AF86" s="129" t="n"/>
      <c r="AG86" s="129" t="n"/>
      <c r="AH86" s="129" t="n"/>
      <c r="AI86" s="129" t="n"/>
      <c r="AJ86" s="129" t="n"/>
      <c r="AK86" s="129" t="n"/>
      <c r="AL86" s="129" t="n"/>
      <c r="AM86" s="129" t="n"/>
      <c r="AN86" s="129" t="n"/>
      <c r="AO86" s="129" t="n"/>
      <c r="AP86" s="129" t="n"/>
      <c r="AQ86" s="129" t="n"/>
      <c r="AR86" s="129" t="n"/>
      <c r="AS86" s="129" t="n"/>
      <c r="AT86" s="129" t="n"/>
      <c r="AU86" s="129" t="n"/>
      <c r="AV86" s="129" t="n"/>
    </row>
    <row r="87">
      <c r="A87" s="127" t="inlineStr">
        <is>
          <t>Base -1pt</t>
        </is>
      </c>
      <c r="B87" s="142">
        <f>$C$77+-1*$C$80</f>
        <v>0.0214658323960912</v>
      </c>
      <c r="C87" s="146">
        <f>$C$76*(1+B87)</f>
        <v>468033.571821558</v>
      </c>
      <c r="D87" s="146">
        <f>C87*$C$78</f>
        <v>331552.62825496</v>
      </c>
      <c r="E87" s="146">
        <f>C87*$C$79</f>
        <v>136480.943566599</v>
      </c>
      <c r="F87" s="146">
        <f>C87*$C$37</f>
        <v>38846.7864611893</v>
      </c>
      <c r="G87" s="146">
        <f>C87*$C$36</f>
        <v>30890.2157402228</v>
      </c>
      <c r="H87" s="129" t="n"/>
      <c r="I87" s="146">
        <f>D87*($C$34+-2*$C$81)+E87*($C$35+-2*$C$81)-F87-G87</f>
        <v>146619.911209274</v>
      </c>
      <c r="J87" s="146">
        <f>D87*($C$34+-1*$C$81)+E87*($C$35+-1*$C$81)-F87-G87</f>
        <v>151300.246927489</v>
      </c>
      <c r="K87" s="146">
        <f>D87*($C$34+0*$C$81)+E87*($C$35+0*$C$81)-F87-G87</f>
        <v>155980.582645705</v>
      </c>
      <c r="L87" s="146">
        <f>D87*($C$34+1*$C$81)+E87*($C$35+1*$C$81)-F87-G87</f>
        <v>160660.91836392</v>
      </c>
      <c r="M87" s="146">
        <f>D87*($C$34+2*$C$81)+E87*($C$35+2*$C$81)-F87-G87</f>
        <v>165341.254082136</v>
      </c>
      <c r="N87" s="129" t="n"/>
      <c r="O87" s="148">
        <f>I87*(1-$C$44)/$C$17</f>
        <v>8.36949956338284</v>
      </c>
      <c r="P87" s="148">
        <f>J87*(1-$C$44)/$C$17</f>
        <v>8.63666701306284</v>
      </c>
      <c r="Q87" s="148">
        <f>K87*(1-$C$44)/$C$17</f>
        <v>8.90383446274285</v>
      </c>
      <c r="R87" s="148">
        <f>L87*(1-$C$44)/$C$17</f>
        <v>9.17100191242285</v>
      </c>
      <c r="S87" s="148">
        <f>M87*(1-$C$44)/$C$17</f>
        <v>9.43816936210286</v>
      </c>
      <c r="T87" s="129" t="n"/>
      <c r="U87" s="129" t="n"/>
      <c r="V87" s="129" t="n"/>
      <c r="W87" s="129" t="n"/>
      <c r="X87" s="129" t="n"/>
      <c r="Y87" s="129" t="n"/>
      <c r="Z87" s="129" t="n"/>
      <c r="AA87" s="129" t="n"/>
      <c r="AB87" s="129" t="n"/>
      <c r="AC87" s="129" t="n"/>
      <c r="AD87" s="129" t="n"/>
      <c r="AE87" s="129" t="n"/>
      <c r="AF87" s="129" t="n"/>
      <c r="AG87" s="129" t="n"/>
      <c r="AH87" s="129" t="n"/>
      <c r="AI87" s="129" t="n"/>
      <c r="AJ87" s="129" t="n"/>
      <c r="AK87" s="129" t="n"/>
      <c r="AL87" s="129" t="n"/>
      <c r="AM87" s="129" t="n"/>
      <c r="AN87" s="129" t="n"/>
      <c r="AO87" s="129" t="n"/>
      <c r="AP87" s="129" t="n"/>
      <c r="AQ87" s="129" t="n"/>
      <c r="AR87" s="129" t="n"/>
      <c r="AS87" s="129" t="n"/>
      <c r="AT87" s="129" t="n"/>
      <c r="AU87" s="129" t="n"/>
      <c r="AV87" s="129" t="n"/>
    </row>
    <row r="88">
      <c r="A88" s="185" t="inlineStr">
        <is>
          <t>Base growth</t>
        </is>
      </c>
      <c r="B88" s="142">
        <f>$C$77+0*$C$80</f>
        <v>0.0314658323960912</v>
      </c>
      <c r="C88" s="146">
        <f>$C$76*(1+B88)</f>
        <v>472615.551531282</v>
      </c>
      <c r="D88" s="146">
        <f>C88*$C$78</f>
        <v>334798.479635786</v>
      </c>
      <c r="E88" s="146">
        <f>C88*$C$79</f>
        <v>137817.071895497</v>
      </c>
      <c r="F88" s="146">
        <f>C88*$C$37</f>
        <v>39227.0907770964</v>
      </c>
      <c r="G88" s="146">
        <f>C88*$C$36</f>
        <v>31192.6264010646</v>
      </c>
      <c r="H88" s="129" t="n"/>
      <c r="I88" s="146">
        <f>D88*($C$34+-2*$C$81)+E88*($C$35+-2*$C$81)-F88-G88</f>
        <v>148055.298537554</v>
      </c>
      <c r="J88" s="146">
        <f>D88*($C$34+-1*$C$81)+E88*($C$35+-1*$C$81)-F88-G88</f>
        <v>152781.454052867</v>
      </c>
      <c r="K88" s="146">
        <f>D88*($C$34+0*$C$81)+E88*($C$35+0*$C$81)-F88-G88</f>
        <v>157507.60956818</v>
      </c>
      <c r="L88" s="146">
        <f>D88*($C$34+1*$C$81)+E88*($C$35+1*$C$81)-F88-G88</f>
        <v>162233.765083493</v>
      </c>
      <c r="M88" s="146">
        <f>D88*($C$34+2*$C$81)+E88*($C$35+2*$C$81)-F88-G88</f>
        <v>166959.920598805</v>
      </c>
      <c r="N88" s="129" t="n"/>
      <c r="O88" s="148">
        <f>I88*(1-$C$44)/$C$17</f>
        <v>8.45143573097593</v>
      </c>
      <c r="P88" s="148">
        <f>J88*(1-$C$44)/$C$17</f>
        <v>8.7212187106248</v>
      </c>
      <c r="Q88" s="148">
        <f>K88*(1-$C$44)/$C$17</f>
        <v>8.99100169027366</v>
      </c>
      <c r="R88" s="148">
        <f>L88*(1-$C$44)/$C$17</f>
        <v>9.26078466992253</v>
      </c>
      <c r="S88" s="148">
        <f>M88*(1-$C$44)/$C$17</f>
        <v>9.5305676495714</v>
      </c>
      <c r="T88" s="129" t="n"/>
      <c r="U88" s="129" t="n"/>
      <c r="V88" s="129" t="n"/>
      <c r="W88" s="129" t="n"/>
      <c r="X88" s="129" t="n"/>
      <c r="Y88" s="129" t="n"/>
      <c r="Z88" s="129" t="n"/>
      <c r="AA88" s="129" t="n"/>
      <c r="AB88" s="129" t="n"/>
      <c r="AC88" s="129" t="n"/>
      <c r="AD88" s="129" t="n"/>
      <c r="AE88" s="129" t="n"/>
      <c r="AF88" s="129" t="n"/>
      <c r="AG88" s="129" t="n"/>
      <c r="AH88" s="129" t="n"/>
      <c r="AI88" s="129" t="n"/>
      <c r="AJ88" s="129" t="n"/>
      <c r="AK88" s="129" t="n"/>
      <c r="AL88" s="129" t="n"/>
      <c r="AM88" s="129" t="n"/>
      <c r="AN88" s="129" t="n"/>
      <c r="AO88" s="129" t="n"/>
      <c r="AP88" s="129" t="n"/>
      <c r="AQ88" s="129" t="n"/>
      <c r="AR88" s="129" t="n"/>
      <c r="AS88" s="129" t="n"/>
      <c r="AT88" s="129" t="n"/>
      <c r="AU88" s="129" t="n"/>
      <c r="AV88" s="129" t="n"/>
    </row>
    <row r="89">
      <c r="A89" s="127" t="inlineStr">
        <is>
          <t>Base +1pt</t>
        </is>
      </c>
      <c r="B89" s="142">
        <f>$C$77+1*$C$80</f>
        <v>0.0414658323960912</v>
      </c>
      <c r="C89" s="146">
        <f>$C$76*(1+B89)</f>
        <v>477197.531241007</v>
      </c>
      <c r="D89" s="146">
        <f>C89*$C$78</f>
        <v>338044.331016612</v>
      </c>
      <c r="E89" s="146">
        <f>C89*$C$79</f>
        <v>139153.200224395</v>
      </c>
      <c r="F89" s="146">
        <f>C89*$C$37</f>
        <v>39607.3950930036</v>
      </c>
      <c r="G89" s="146">
        <f>C89*$C$36</f>
        <v>31495.0370619064</v>
      </c>
      <c r="H89" s="129" t="n"/>
      <c r="I89" s="146">
        <f>D89*($C$34+-2*$C$81)+E89*($C$35+-2*$C$81)-F89-G89</f>
        <v>149490.685865834</v>
      </c>
      <c r="J89" s="146">
        <f>D89*($C$34+-1*$C$81)+E89*($C$35+-1*$C$81)-F89-G89</f>
        <v>154262.661178244</v>
      </c>
      <c r="K89" s="146">
        <f>D89*($C$34+0*$C$81)+E89*($C$35+0*$C$81)-F89-G89</f>
        <v>159034.636490655</v>
      </c>
      <c r="L89" s="146">
        <f>D89*($C$34+1*$C$81)+E89*($C$35+1*$C$81)-F89-G89</f>
        <v>163806.611803065</v>
      </c>
      <c r="M89" s="146">
        <f>D89*($C$34+2*$C$81)+E89*($C$35+2*$C$81)-F89-G89</f>
        <v>168578.587115475</v>
      </c>
      <c r="N89" s="129" t="n"/>
      <c r="O89" s="148">
        <f>I89*(1-$C$44)/$C$17</f>
        <v>8.53337189856903</v>
      </c>
      <c r="P89" s="148">
        <f>J89*(1-$C$44)/$C$17</f>
        <v>8.80577040818676</v>
      </c>
      <c r="Q89" s="148">
        <f>K89*(1-$C$44)/$C$17</f>
        <v>9.07816891780448</v>
      </c>
      <c r="R89" s="148">
        <f>L89*(1-$C$44)/$C$17</f>
        <v>9.35056742742221</v>
      </c>
      <c r="S89" s="148">
        <f>M89*(1-$C$44)/$C$17</f>
        <v>9.62296593703994</v>
      </c>
      <c r="T89" s="129" t="n"/>
      <c r="U89" s="129" t="n"/>
      <c r="V89" s="129" t="n"/>
      <c r="W89" s="129" t="n"/>
      <c r="X89" s="129" t="n"/>
      <c r="Y89" s="129" t="n"/>
      <c r="Z89" s="129" t="n"/>
      <c r="AA89" s="129" t="n"/>
      <c r="AB89" s="129" t="n"/>
      <c r="AC89" s="129" t="n"/>
      <c r="AD89" s="129" t="n"/>
      <c r="AE89" s="129" t="n"/>
      <c r="AF89" s="129" t="n"/>
      <c r="AG89" s="129" t="n"/>
      <c r="AH89" s="129" t="n"/>
      <c r="AI89" s="129" t="n"/>
      <c r="AJ89" s="129" t="n"/>
      <c r="AK89" s="129" t="n"/>
      <c r="AL89" s="129" t="n"/>
      <c r="AM89" s="129" t="n"/>
      <c r="AN89" s="129" t="n"/>
      <c r="AO89" s="129" t="n"/>
      <c r="AP89" s="129" t="n"/>
      <c r="AQ89" s="129" t="n"/>
      <c r="AR89" s="129" t="n"/>
      <c r="AS89" s="129" t="n"/>
      <c r="AT89" s="129" t="n"/>
      <c r="AU89" s="129" t="n"/>
      <c r="AV89" s="129" t="n"/>
    </row>
    <row r="90">
      <c r="A90" s="127" t="inlineStr">
        <is>
          <t>Base +2pt</t>
        </is>
      </c>
      <c r="B90" s="142">
        <f>$C$77+2*$C$80</f>
        <v>0.0514658323960912</v>
      </c>
      <c r="C90" s="146">
        <f>$C$76*(1+B90)</f>
        <v>481779.510950731</v>
      </c>
      <c r="D90" s="146">
        <f>C90*$C$78</f>
        <v>341290.182397438</v>
      </c>
      <c r="E90" s="146">
        <f>C90*$C$79</f>
        <v>140489.328553293</v>
      </c>
      <c r="F90" s="146">
        <f>C90*$C$37</f>
        <v>39987.6994089107</v>
      </c>
      <c r="G90" s="146">
        <f>C90*$C$36</f>
        <v>31797.4477227483</v>
      </c>
      <c r="H90" s="129" t="n"/>
      <c r="I90" s="146">
        <f>D90*($C$34+-2*$C$81)+E90*($C$35+-2*$C$81)-F90-G90</f>
        <v>150926.073194115</v>
      </c>
      <c r="J90" s="146">
        <f>D90*($C$34+-1*$C$81)+E90*($C$35+-1*$C$81)-F90-G90</f>
        <v>155743.868303622</v>
      </c>
      <c r="K90" s="146">
        <f>D90*($C$34+0*$C$81)+E90*($C$35+0*$C$81)-F90-G90</f>
        <v>160561.663413129</v>
      </c>
      <c r="L90" s="146">
        <f>D90*($C$34+1*$C$81)+E90*($C$35+1*$C$81)-F90-G90</f>
        <v>165379.458522637</v>
      </c>
      <c r="M90" s="146">
        <f>D90*($C$34+2*$C$81)+E90*($C$35+2*$C$81)-F90-G90</f>
        <v>170197.253632144</v>
      </c>
      <c r="N90" s="129" t="n"/>
      <c r="O90" s="148">
        <f>I90*(1-$C$44)/$C$17</f>
        <v>8.61530806616213</v>
      </c>
      <c r="P90" s="148">
        <f>J90*(1-$C$44)/$C$17</f>
        <v>8.89032210574872</v>
      </c>
      <c r="Q90" s="148">
        <f>K90*(1-$C$44)/$C$17</f>
        <v>9.1653361453353</v>
      </c>
      <c r="R90" s="148">
        <f>L90*(1-$C$44)/$C$17</f>
        <v>9.4403501849219</v>
      </c>
      <c r="S90" s="148">
        <f>M90*(1-$C$44)/$C$17</f>
        <v>9.71536422450848</v>
      </c>
      <c r="T90" s="129" t="n"/>
      <c r="U90" s="129" t="n"/>
      <c r="V90" s="129" t="n"/>
      <c r="W90" s="129" t="n"/>
      <c r="X90" s="129" t="n"/>
      <c r="Y90" s="129" t="n"/>
      <c r="Z90" s="129" t="n"/>
      <c r="AA90" s="129" t="n"/>
      <c r="AB90" s="129" t="n"/>
      <c r="AC90" s="129" t="n"/>
      <c r="AD90" s="129" t="n"/>
      <c r="AE90" s="129" t="n"/>
      <c r="AF90" s="129" t="n"/>
      <c r="AG90" s="129" t="n"/>
      <c r="AH90" s="129" t="n"/>
      <c r="AI90" s="129" t="n"/>
      <c r="AJ90" s="129" t="n"/>
      <c r="AK90" s="129" t="n"/>
      <c r="AL90" s="129" t="n"/>
      <c r="AM90" s="129" t="n"/>
      <c r="AN90" s="129" t="n"/>
      <c r="AO90" s="129" t="n"/>
      <c r="AP90" s="129" t="n"/>
      <c r="AQ90" s="129" t="n"/>
      <c r="AR90" s="129" t="n"/>
      <c r="AS90" s="129" t="n"/>
      <c r="AT90" s="129" t="n"/>
      <c r="AU90" s="129" t="n"/>
      <c r="AV90" s="129" t="n"/>
    </row>
    <row r="91">
      <c r="A91" s="127" t="inlineStr">
        <is>
          <t>Base +3pt</t>
        </is>
      </c>
      <c r="B91" s="142">
        <f>$C$77+3*$C$80</f>
        <v>0.0614658323960912</v>
      </c>
      <c r="C91" s="146">
        <f>$C$76*(1+B91)</f>
        <v>486361.490660455</v>
      </c>
      <c r="D91" s="146">
        <f>C91*$C$78</f>
        <v>344536.033778264</v>
      </c>
      <c r="E91" s="146">
        <f>C91*$C$79</f>
        <v>141825.456882191</v>
      </c>
      <c r="F91" s="146">
        <f>C91*$C$37</f>
        <v>40368.0037248178</v>
      </c>
      <c r="G91" s="146">
        <f>C91*$C$36</f>
        <v>32099.8583835901</v>
      </c>
      <c r="H91" s="129" t="n"/>
      <c r="I91" s="146">
        <f>D91*($C$34+-2*$C$81)+E91*($C$35+-2*$C$81)-F91-G91</f>
        <v>152361.460522395</v>
      </c>
      <c r="J91" s="146">
        <f>D91*($C$34+-1*$C$81)+E91*($C$35+-1*$C$81)-F91-G91</f>
        <v>157225.075429</v>
      </c>
      <c r="K91" s="146">
        <f>D91*($C$34+0*$C$81)+E91*($C$35+0*$C$81)-F91-G91</f>
        <v>162088.690335604</v>
      </c>
      <c r="L91" s="146">
        <f>D91*($C$34+1*$C$81)+E91*($C$35+1*$C$81)-F91-G91</f>
        <v>166952.305242209</v>
      </c>
      <c r="M91" s="146">
        <f>D91*($C$34+2*$C$81)+E91*($C$35+2*$C$81)-F91-G91</f>
        <v>171815.920148813</v>
      </c>
      <c r="N91" s="129" t="n"/>
      <c r="O91" s="148">
        <f>I91*(1-$C$44)/$C$17</f>
        <v>8.69724423375523</v>
      </c>
      <c r="P91" s="148">
        <f>J91*(1-$C$44)/$C$17</f>
        <v>8.97487380331068</v>
      </c>
      <c r="Q91" s="148">
        <f>K91*(1-$C$44)/$C$17</f>
        <v>9.25250337286613</v>
      </c>
      <c r="R91" s="148">
        <f>L91*(1-$C$44)/$C$17</f>
        <v>9.53013294242158</v>
      </c>
      <c r="S91" s="148">
        <f>M91*(1-$C$44)/$C$17</f>
        <v>9.80776251197703</v>
      </c>
      <c r="T91" s="129" t="n"/>
      <c r="U91" s="129" t="n"/>
      <c r="V91" s="129" t="n"/>
      <c r="W91" s="129" t="n"/>
      <c r="X91" s="129" t="n"/>
      <c r="Y91" s="129" t="n"/>
      <c r="Z91" s="129" t="n"/>
      <c r="AA91" s="129" t="n"/>
      <c r="AB91" s="129" t="n"/>
      <c r="AC91" s="129" t="n"/>
      <c r="AD91" s="129" t="n"/>
      <c r="AE91" s="129" t="n"/>
      <c r="AF91" s="129" t="n"/>
      <c r="AG91" s="129" t="n"/>
      <c r="AH91" s="129" t="n"/>
      <c r="AI91" s="129" t="n"/>
      <c r="AJ91" s="129" t="n"/>
      <c r="AK91" s="129" t="n"/>
      <c r="AL91" s="129" t="n"/>
      <c r="AM91" s="129" t="n"/>
      <c r="AN91" s="129" t="n"/>
      <c r="AO91" s="129" t="n"/>
      <c r="AP91" s="129" t="n"/>
      <c r="AQ91" s="129" t="n"/>
      <c r="AR91" s="129" t="n"/>
      <c r="AS91" s="129" t="n"/>
      <c r="AT91" s="129" t="n"/>
      <c r="AU91" s="129" t="n"/>
      <c r="AV91" s="129" t="n"/>
    </row>
    <row r="92">
      <c r="A92" s="129" t="n"/>
      <c r="B92" s="129" t="n"/>
      <c r="C92" s="129" t="n"/>
      <c r="D92" s="129" t="n"/>
      <c r="E92" s="129" t="n"/>
      <c r="F92" s="129" t="n"/>
      <c r="G92" s="129" t="n"/>
      <c r="H92" s="129" t="n"/>
      <c r="I92" s="129" t="n"/>
      <c r="J92" s="129" t="n"/>
      <c r="K92" s="129" t="n"/>
      <c r="L92" s="129" t="n"/>
      <c r="M92" s="129" t="n"/>
      <c r="N92" s="129" t="n"/>
      <c r="O92" s="129" t="n"/>
      <c r="P92" s="129" t="n"/>
      <c r="Q92" s="129" t="n"/>
      <c r="R92" s="129" t="n"/>
      <c r="S92" s="129" t="n"/>
      <c r="T92" s="129" t="n"/>
      <c r="U92" s="129" t="n"/>
      <c r="V92" s="129" t="n"/>
      <c r="W92" s="129" t="n"/>
      <c r="X92" s="129" t="n"/>
      <c r="Y92" s="129" t="n"/>
      <c r="Z92" s="129" t="n"/>
      <c r="AA92" s="129" t="n"/>
      <c r="AB92" s="129" t="n"/>
      <c r="AC92" s="129" t="n"/>
      <c r="AD92" s="129" t="n"/>
      <c r="AE92" s="129" t="n"/>
      <c r="AF92" s="129" t="n"/>
      <c r="AG92" s="129" t="n"/>
      <c r="AH92" s="129" t="n"/>
      <c r="AI92" s="129" t="n"/>
      <c r="AJ92" s="129" t="n"/>
      <c r="AK92" s="129" t="n"/>
      <c r="AL92" s="129" t="n"/>
      <c r="AM92" s="129" t="n"/>
      <c r="AN92" s="129" t="n"/>
      <c r="AO92" s="129" t="n"/>
      <c r="AP92" s="129" t="n"/>
      <c r="AQ92" s="129" t="n"/>
      <c r="AR92" s="129" t="n"/>
      <c r="AS92" s="129" t="n"/>
      <c r="AT92" s="129" t="n"/>
      <c r="AU92" s="129" t="n"/>
      <c r="AV92" s="129" t="n"/>
    </row>
    <row r="93" ht="42" customHeight="1">
      <c r="A93" s="180" t="inlineStr">
        <is>
          <t>TIE-OUT: the center cell of both grids (Base growth row x Base/0pt GM column) reproduces Step 1's own Base row exactly -- OI cell = K88 should equal W52 (Step 1's Base Operating Income); EPS cell = Q88 should equal Z52 (Step 1's Base EPS) -- confirmed identically to floating-point precision (see the Task 18 report's spot-check).</t>
        </is>
      </c>
      <c r="B93" s="218" t="n"/>
      <c r="C93" s="218" t="n"/>
      <c r="D93" s="218" t="n"/>
      <c r="E93" s="218" t="n"/>
      <c r="F93" s="218" t="n"/>
      <c r="G93" s="218" t="n"/>
      <c r="H93" s="218" t="n"/>
      <c r="I93" s="218" t="n"/>
      <c r="J93" s="218" t="n"/>
      <c r="K93" s="218" t="n"/>
      <c r="L93" s="218" t="n"/>
      <c r="M93" s="218" t="n"/>
      <c r="N93" s="218" t="n"/>
      <c r="O93" s="218" t="n"/>
      <c r="P93" s="218" t="n"/>
      <c r="Q93" s="218" t="n"/>
      <c r="R93" s="218" t="n"/>
      <c r="S93" s="218" t="n"/>
      <c r="T93" s="218" t="n"/>
      <c r="U93" s="218" t="n"/>
      <c r="V93" s="218" t="n"/>
      <c r="W93" s="218" t="n"/>
      <c r="X93" s="218" t="n"/>
      <c r="Y93" s="218" t="n"/>
      <c r="Z93" s="218" t="n"/>
      <c r="AA93" s="218" t="n"/>
      <c r="AB93" s="218" t="n"/>
      <c r="AC93" s="218" t="n"/>
      <c r="AD93" s="218" t="n"/>
      <c r="AE93" s="218" t="n"/>
      <c r="AF93" s="218" t="n"/>
      <c r="AG93" s="218" t="n"/>
      <c r="AH93" s="218" t="n"/>
      <c r="AI93" s="218" t="n"/>
      <c r="AJ93" s="218" t="n"/>
      <c r="AK93" s="218" t="n"/>
      <c r="AL93" s="218" t="n"/>
      <c r="AM93" s="218" t="n"/>
      <c r="AN93" s="218" t="n"/>
      <c r="AO93" s="218" t="n"/>
      <c r="AP93" s="218" t="n"/>
      <c r="AQ93" s="218" t="n"/>
      <c r="AR93" s="218" t="n"/>
      <c r="AS93" s="218" t="n"/>
      <c r="AT93" s="218" t="n"/>
      <c r="AU93" s="218" t="n"/>
      <c r="AV93" s="219" t="n"/>
    </row>
    <row r="94">
      <c r="A94" s="129" t="n"/>
      <c r="B94" s="129" t="n"/>
      <c r="C94" s="129" t="n"/>
      <c r="D94" s="129" t="n"/>
      <c r="E94" s="129" t="n"/>
      <c r="F94" s="129" t="n"/>
      <c r="G94" s="129" t="n"/>
      <c r="H94" s="129" t="n"/>
      <c r="I94" s="129" t="n"/>
      <c r="J94" s="129" t="n"/>
      <c r="K94" s="129" t="n"/>
      <c r="L94" s="129" t="n"/>
      <c r="M94" s="129" t="n"/>
      <c r="N94" s="129" t="n"/>
      <c r="O94" s="129" t="n"/>
      <c r="P94" s="129" t="n"/>
      <c r="Q94" s="129" t="n"/>
      <c r="R94" s="129" t="n"/>
      <c r="S94" s="129" t="n"/>
      <c r="T94" s="129" t="n"/>
      <c r="U94" s="129" t="n"/>
      <c r="V94" s="129" t="n"/>
      <c r="W94" s="129" t="n"/>
      <c r="X94" s="129" t="n"/>
      <c r="Y94" s="129" t="n"/>
      <c r="Z94" s="129" t="n"/>
      <c r="AA94" s="129" t="n"/>
      <c r="AB94" s="129" t="n"/>
      <c r="AC94" s="129" t="n"/>
      <c r="AD94" s="129" t="n"/>
      <c r="AE94" s="129" t="n"/>
      <c r="AF94" s="129" t="n"/>
      <c r="AG94" s="129" t="n"/>
      <c r="AH94" s="129" t="n"/>
      <c r="AI94" s="129" t="n"/>
      <c r="AJ94" s="129" t="n"/>
      <c r="AK94" s="129" t="n"/>
      <c r="AL94" s="129" t="n"/>
      <c r="AM94" s="129" t="n"/>
      <c r="AN94" s="129" t="n"/>
      <c r="AO94" s="129" t="n"/>
      <c r="AP94" s="129" t="n"/>
      <c r="AQ94" s="129" t="n"/>
      <c r="AR94" s="129" t="n"/>
      <c r="AS94" s="129" t="n"/>
      <c r="AT94" s="129" t="n"/>
      <c r="AU94" s="129" t="n"/>
      <c r="AV94" s="129" t="n"/>
    </row>
    <row r="95" ht="55" customHeight="1">
      <c r="A95" s="180" t="inlineStr">
        <is>
          <t>Color legend: dark title bar = tab title; blue section header = Fixed Reference / Base Driver / Step 2 Reference blocks (live formula links, never swung); purple section header = Step 1; orange section header = Step 2; pale-gold fill = KEY output column/grid (Operating Income, EPS, Free Cash Flow, Cash); grey fill = the Base (0 swing / Base growth+Base GM) row or cell; light green = live Step 2 grid formula cell; light yellow = editable input cell (Swing Size / Row Step / Column Step); light grey CHECK row with green/red Difference cells = conditional formatting, live (green = ties out to the live model, red = does not). All $ figures in $M unless noted. Every formula on this tab is a real, ordinary Excel formula (SUM/product/quotient only) -- no Python-computed literal values, no native Excel Data Table / TABLE() array formula (see row 3 for why).</t>
        </is>
      </c>
      <c r="B95" s="218" t="n"/>
      <c r="C95" s="218" t="n"/>
      <c r="D95" s="218" t="n"/>
      <c r="E95" s="218" t="n"/>
      <c r="F95" s="218" t="n"/>
      <c r="G95" s="218" t="n"/>
      <c r="H95" s="218" t="n"/>
      <c r="I95" s="218" t="n"/>
      <c r="J95" s="218" t="n"/>
      <c r="K95" s="218" t="n"/>
      <c r="L95" s="218" t="n"/>
      <c r="M95" s="218" t="n"/>
      <c r="N95" s="218" t="n"/>
      <c r="O95" s="218" t="n"/>
      <c r="P95" s="218" t="n"/>
      <c r="Q95" s="218" t="n"/>
      <c r="R95" s="218" t="n"/>
      <c r="S95" s="218" t="n"/>
      <c r="T95" s="218" t="n"/>
      <c r="U95" s="218" t="n"/>
      <c r="V95" s="218" t="n"/>
      <c r="W95" s="218" t="n"/>
      <c r="X95" s="218" t="n"/>
      <c r="Y95" s="218" t="n"/>
      <c r="Z95" s="218" t="n"/>
      <c r="AA95" s="218" t="n"/>
      <c r="AB95" s="218" t="n"/>
      <c r="AC95" s="218" t="n"/>
      <c r="AD95" s="218" t="n"/>
      <c r="AE95" s="218" t="n"/>
      <c r="AF95" s="218" t="n"/>
      <c r="AG95" s="218" t="n"/>
      <c r="AH95" s="218" t="n"/>
      <c r="AI95" s="218" t="n"/>
      <c r="AJ95" s="218" t="n"/>
      <c r="AK95" s="218" t="n"/>
      <c r="AL95" s="218" t="n"/>
      <c r="AM95" s="218" t="n"/>
      <c r="AN95" s="218" t="n"/>
      <c r="AO95" s="218" t="n"/>
      <c r="AP95" s="218" t="n"/>
      <c r="AQ95" s="218" t="n"/>
      <c r="AR95" s="218" t="n"/>
      <c r="AS95" s="218" t="n"/>
      <c r="AT95" s="218" t="n"/>
      <c r="AU95" s="218" t="n"/>
      <c r="AV95" s="219" t="n"/>
    </row>
  </sheetData>
  <mergeCells count="24">
    <mergeCell ref="A1:AV1"/>
    <mergeCell ref="A49:B49"/>
    <mergeCell ref="A6:AV6"/>
    <mergeCell ref="A70:AV70"/>
    <mergeCell ref="A53:V53"/>
    <mergeCell ref="O83:P83"/>
    <mergeCell ref="A25:AV25"/>
    <mergeCell ref="A74:AV74"/>
    <mergeCell ref="A3:AV3"/>
    <mergeCell ref="A95:AV95"/>
    <mergeCell ref="A2:AV2"/>
    <mergeCell ref="A71:AV71"/>
    <mergeCell ref="A47:AV47"/>
    <mergeCell ref="A5:AV5"/>
    <mergeCell ref="A8:AV8"/>
    <mergeCell ref="I83:J83"/>
    <mergeCell ref="A4:AV4"/>
    <mergeCell ref="A72:AV72"/>
    <mergeCell ref="A68:AV68"/>
    <mergeCell ref="A93:AV93"/>
    <mergeCell ref="A9:AV9"/>
    <mergeCell ref="AS53:AT53"/>
    <mergeCell ref="A48:AV48"/>
    <mergeCell ref="A24:AV24"/>
  </mergeCells>
  <conditionalFormatting sqref="W53">
    <cfRule type="expression" priority="1" dxfId="0">
      <formula>ROUND(W53,2)=0</formula>
    </cfRule>
    <cfRule type="expression" priority="2" dxfId="1">
      <formula>ROUND(W53,2)&lt;&gt;0</formula>
    </cfRule>
  </conditionalFormatting>
  <conditionalFormatting sqref="Z53">
    <cfRule type="expression" priority="3" dxfId="0">
      <formula>ROUND(Z53,2)=0</formula>
    </cfRule>
    <cfRule type="expression" priority="4" dxfId="1">
      <formula>ROUND(Z53,2)&lt;&gt;0</formula>
    </cfRule>
  </conditionalFormatting>
  <conditionalFormatting sqref="AL53">
    <cfRule type="expression" priority="5" dxfId="0">
      <formula>ROUND(AL53,2)=0</formula>
    </cfRule>
    <cfRule type="expression" priority="6" dxfId="1">
      <formula>ROUND(AL53,2)&lt;&gt;0</formula>
    </cfRule>
  </conditionalFormatting>
  <conditionalFormatting sqref="AR53">
    <cfRule type="expression" priority="7" dxfId="0">
      <formula>ROUND(AR53,2)=0</formula>
    </cfRule>
    <cfRule type="expression" priority="8" dxfId="1">
      <formula>ROUND(AR53,2)&lt;&gt;0</formula>
    </cfRule>
  </conditionalFormatting>
  <conditionalFormatting sqref="AU53">
    <cfRule type="expression" priority="9" dxfId="0">
      <formula>AU53="Base"</formula>
    </cfRule>
    <cfRule type="expression" priority="10" dxfId="1">
      <formula>AU53&lt;&gt;"Base"</formula>
    </cfRule>
  </conditionalFormatting>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808"/>
  <sheetViews>
    <sheetView showGridLines="1" workbookViewId="0">
      <pane ySplit="10" topLeftCell="A11" activePane="bottomLeft" state="frozen"/>
      <selection pane="bottomLeft" activeCell="A1" sqref="A1"/>
    </sheetView>
  </sheetViews>
  <sheetFormatPr baseColWidth="8" defaultRowHeight="15"/>
  <cols>
    <col width="14" customWidth="1" min="1" max="1"/>
    <col width="22" customWidth="1" min="2" max="2"/>
    <col width="10" customWidth="1" min="3" max="3"/>
    <col width="32" customWidth="1" min="4" max="4"/>
    <col width="16" customWidth="1" min="5" max="5"/>
    <col width="26" customWidth="1" min="6" max="6"/>
    <col width="70" customWidth="1" min="7" max="7"/>
  </cols>
  <sheetData>
    <row r="1" ht="22" customHeight="1">
      <c r="A1" s="126" t="inlineStr">
        <is>
          <t>Apple Inc. -- Driver-Based Rolling Forecast Model: OUTPUT (flat/tidy table for Phase 4 dashboards)</t>
        </is>
      </c>
      <c r="B1" s="218" t="n"/>
      <c r="C1" s="218" t="n"/>
      <c r="D1" s="218" t="n"/>
      <c r="E1" s="218" t="n"/>
      <c r="F1" s="218" t="n"/>
      <c r="G1" s="219" t="n"/>
    </row>
    <row r="2" ht="68" customHeight="1">
      <c r="A2" s="154" t="inlineStr">
        <is>
          <t>SCHEMA (fixed contract -- do not rename): period | vintage | scenario | metric | value, plus two documentation-only columns appended after the 5 required ones (source_cell, notes) for human/QA traceability -- Phase 4 only needs to read the first 5 by name. PURE RESHAPING LAYER: every 'value' cell is a live Excel formula that is a direct, single-cell reference to a cell already computed on IS/BS/CF/Drivers/Forecast Bridge (see source_cell) -- nothing here is re-derived or newly calculated, EXCEPT the clearly-flagged Bull/Bear static snapshot block at the bottom (see row 5 note). Where a (period, vintage, metric) combination's source cell reads 'n/a' on its home tab (e.g. segment revenue not disclosed at historical quarterly grain; a Total column that blends a real actual quarter with modeled quarters), that row is LEFT OUT ENTIRELY -- never a fabricated estimate.</t>
        </is>
      </c>
      <c r="B2" s="218" t="n"/>
      <c r="C2" s="218" t="n"/>
      <c r="D2" s="218" t="n"/>
      <c r="E2" s="218" t="n"/>
      <c r="F2" s="218" t="n"/>
      <c r="G2" s="219" t="n"/>
    </row>
    <row r="3" ht="100" customHeight="1">
      <c r="A3" s="154" t="inlineStr">
        <is>
          <t>VINTAGE COVERAGE: Actual (FY24 Q1 - FY26 Q2, 10 real historical quarters) -&gt; FY2026 Approved AOP (FY26 Q1-Q4 + Total) -&gt; Q1 Forecast Update (FY26 Q2-Q4 + Total; Q1 itself is by then a real actual, already covered under Actual) -&gt; Q3 Reforecast (FY26 Q3-Q4 + Total; Q1 and Q2 are both real actuals by then) -&gt; FY2027 AOP (FY27 Q1-Q4 + Total). Plus the Forecast Bridge tab's 3 waterfalls as '&lt;X&gt; Variance $/%' metric rows: Waterfall A (FY26 Q1 Actual vs Approved AOP) tagged to period FY26 Q1 / vintage Q1 Forecast Update; Waterfall B (FY26 Q2 Actual vs Q1 FU) tagged to period FY26 Q2 / vintage Q3 Reforecast; Waterfall C (Q3 Reforecast's Q3+Q4 vs Q1 FU's own Q3+Q4, a forecast revision not an actual-vs-plan variance) tagged to period 'FY26 Q3-Q4' (a genuine 2-quarter-combined figure, not split into a false single quarter) / vintage Q3 Reforecast. Each waterfall's per-segment TOTAL variance is additionally broken into its Units/ASP/FX/Mix sub-attribution ('&lt;Segment&gt; Revenue Variance $ -- Units/ASP/FX/Mix' metric rows), a direct export of the Forecast Bridge tab's own columns B/C/D/E for that segment/waterfall row (final-review fix wave addition). METRIC COVERAGE was also extended (same fix wave) to add R&amp;D $, SG&amp;A $, Operating Margin %, AR $, Inventory $, AP $, CapEx $, Buyback $, Dividend $, Total Assets $, Total Liabilities $, Total Equity $ for every period/vintage where the source IS/BS/CF cell is not 'n/a'.</t>
        </is>
      </c>
      <c r="B3" s="218" t="n"/>
      <c r="C3" s="218" t="n"/>
      <c r="D3" s="218" t="n"/>
      <c r="E3" s="218" t="n"/>
      <c r="F3" s="218" t="n"/>
      <c r="G3" s="219" t="n"/>
    </row>
    <row r="4" ht="55" customHeight="1">
      <c r="A4" s="180" t="inlineStr">
        <is>
          <t>SCENARIO COLUMN -- LIMITATION (documented, not a bug): historical/actual rows use scenario = 'Actual'. Every forecast-vintage formula row reads whatever the live Drivers!B6 switch is CURRENTLY set to -- Excel formulas hold exactly one value per cell, so this table cannot show Base/Bull/Bear as live formulas simultaneously. scenario = 'Base' for every forecast-vintage formula row below because that is what is actually computed and cached in this delivered file (verified live check cell -&gt; )</t>
        </is>
      </c>
      <c r="B4" s="218" t="n"/>
      <c r="C4" s="218" t="n"/>
      <c r="D4" s="218" t="n"/>
      <c r="E4" s="219" t="n"/>
      <c r="F4" s="200" t="inlineStr">
        <is>
          <t>Drivers!B6 currently =</t>
        </is>
      </c>
      <c r="G4" s="195" t="str">
        <f>Drivers!B6</f>
        <v>Base</v>
      </c>
    </row>
    <row r="5" ht="68" customHeight="1">
      <c r="A5" s="154" t="inlineStr">
        <is>
          <t>BULL/BEAR SNAPSHOT (this task's optional stretch goal, peach-shaded rows at the bottom of the table): scoped to the FY2027 AOP vintage's 8 headline metrics (Revenue, Gross Margin $/%, Operating Income, Net Income, EPS, FCF, Cash) -- the ones a Bull/Bear dashboard view needs most (same scope choice Task 18's Sensitivity tab made). These rows were captured by ACTUALLY toggling Drivers!B6 to Bull then Bear on throwaway TEMP COPIES of this workbook (never the delivered file itself), recalculating each with scripts/recalc_and_cache.py's formulas-engine helper, reading back the resulting FY2027 AOP values, and deleting the temp copies. Consequently these specific cells hold LITERAL NUMBERS, not live formulas -- see the notes column and source_cell text on each such row. They will NOT automatically update if the Drivers tab's Bull/Bear assumption columns (E/F) are edited later; re-run scripts/build_output_tab.py to refresh them. This is fundamentally different from every other row on this tab, which are all live formulas.</t>
        </is>
      </c>
      <c r="B5" s="218" t="n"/>
      <c r="C5" s="218" t="n"/>
      <c r="D5" s="218" t="n"/>
      <c r="E5" s="218" t="n"/>
      <c r="F5" s="218" t="n"/>
      <c r="G5" s="219" t="n"/>
    </row>
    <row r="6" ht="28" customHeight="1">
      <c r="A6" s="154" t="inlineStr">
        <is>
          <t>Color legend: white/unshaded = live formula row, forecast vintage, scenario=Base; light grey = Actual-vintage row (scenario=Actual); pale gold = Forecast Bridge waterfall variance row; peach = Bull/Bear static snapshot row (literal value, not a live formula -- see row 5).</t>
        </is>
      </c>
      <c r="B6" s="218" t="n"/>
      <c r="C6" s="218" t="n"/>
      <c r="D6" s="218" t="n"/>
      <c r="E6" s="218" t="n"/>
      <c r="F6" s="218" t="n"/>
      <c r="G6" s="219" t="n"/>
    </row>
    <row r="7">
      <c r="A7" s="129" t="n"/>
      <c r="B7" s="129" t="n"/>
      <c r="C7" s="129" t="n"/>
      <c r="D7" s="129" t="n"/>
      <c r="E7" s="129" t="n"/>
      <c r="F7" s="129" t="n"/>
      <c r="G7" s="129" t="n"/>
    </row>
    <row r="8">
      <c r="A8" s="129" t="n"/>
      <c r="B8" s="129" t="n"/>
      <c r="C8" s="129" t="n"/>
      <c r="D8" s="129" t="n"/>
      <c r="E8" s="129" t="n"/>
      <c r="F8" s="129" t="n"/>
      <c r="G8" s="129" t="n"/>
    </row>
    <row r="9">
      <c r="A9" s="129" t="n"/>
      <c r="B9" s="129" t="n"/>
      <c r="C9" s="129" t="n"/>
      <c r="D9" s="129" t="n"/>
      <c r="E9" s="129" t="n"/>
      <c r="F9" s="129" t="n"/>
      <c r="G9" s="129" t="n"/>
    </row>
    <row r="10">
      <c r="A10" s="182" t="inlineStr">
        <is>
          <t>period</t>
        </is>
      </c>
      <c r="B10" s="182" t="inlineStr">
        <is>
          <t>vintage</t>
        </is>
      </c>
      <c r="C10" s="182" t="inlineStr">
        <is>
          <t>scenario</t>
        </is>
      </c>
      <c r="D10" s="182" t="inlineStr">
        <is>
          <t>metric</t>
        </is>
      </c>
      <c r="E10" s="182" t="inlineStr">
        <is>
          <t>value</t>
        </is>
      </c>
      <c r="F10" s="182" t="inlineStr">
        <is>
          <t>source_cell</t>
        </is>
      </c>
      <c r="G10" s="182" t="inlineStr">
        <is>
          <t>notes</t>
        </is>
      </c>
    </row>
    <row r="11">
      <c r="A11" s="201" t="inlineStr">
        <is>
          <t>FY24 Q1</t>
        </is>
      </c>
      <c r="B11" s="201" t="inlineStr">
        <is>
          <t>Actual</t>
        </is>
      </c>
      <c r="C11" s="202" t="inlineStr">
        <is>
          <t>Actual</t>
        </is>
      </c>
      <c r="D11" s="201" t="inlineStr">
        <is>
          <t>Revenue</t>
        </is>
      </c>
      <c r="E11" s="146">
        <f>IS!B41</f>
        <v>119575</v>
      </c>
      <c r="F11" s="203" t="inlineStr">
        <is>
          <t>IS!B41</t>
        </is>
      </c>
      <c r="G11" s="204" t="inlineStr"/>
    </row>
    <row r="12">
      <c r="A12" s="201" t="inlineStr">
        <is>
          <t>FY24 Q1</t>
        </is>
      </c>
      <c r="B12" s="201" t="inlineStr">
        <is>
          <t>Actual</t>
        </is>
      </c>
      <c r="C12" s="202" t="inlineStr">
        <is>
          <t>Actual</t>
        </is>
      </c>
      <c r="D12" s="201" t="inlineStr">
        <is>
          <t>Gross Margin $</t>
        </is>
      </c>
      <c r="E12" s="146">
        <f>IS!B44</f>
        <v>54855</v>
      </c>
      <c r="F12" s="203" t="inlineStr">
        <is>
          <t>IS!B44</t>
        </is>
      </c>
      <c r="G12" s="204" t="inlineStr"/>
    </row>
    <row r="13">
      <c r="A13" s="201" t="inlineStr">
        <is>
          <t>FY24 Q1</t>
        </is>
      </c>
      <c r="B13" s="201" t="inlineStr">
        <is>
          <t>Actual</t>
        </is>
      </c>
      <c r="C13" s="202" t="inlineStr">
        <is>
          <t>Actual</t>
        </is>
      </c>
      <c r="D13" s="201" t="inlineStr">
        <is>
          <t>Gross Margin %</t>
        </is>
      </c>
      <c r="E13" s="142">
        <f>IS!B45</f>
        <v>0.458749738657746</v>
      </c>
      <c r="F13" s="203" t="inlineStr">
        <is>
          <t>IS!B45</t>
        </is>
      </c>
      <c r="G13" s="204" t="inlineStr"/>
    </row>
    <row r="14">
      <c r="A14" s="201" t="inlineStr">
        <is>
          <t>FY24 Q1</t>
        </is>
      </c>
      <c r="B14" s="201" t="inlineStr">
        <is>
          <t>Actual</t>
        </is>
      </c>
      <c r="C14" s="202" t="inlineStr">
        <is>
          <t>Actual</t>
        </is>
      </c>
      <c r="D14" s="201" t="inlineStr">
        <is>
          <t>Operating Income</t>
        </is>
      </c>
      <c r="E14" s="146">
        <f>IS!B49</f>
        <v>40373</v>
      </c>
      <c r="F14" s="203" t="inlineStr">
        <is>
          <t>IS!B49</t>
        </is>
      </c>
      <c r="G14" s="204" t="inlineStr"/>
    </row>
    <row r="15">
      <c r="A15" s="201" t="inlineStr">
        <is>
          <t>FY24 Q1</t>
        </is>
      </c>
      <c r="B15" s="201" t="inlineStr">
        <is>
          <t>Actual</t>
        </is>
      </c>
      <c r="C15" s="202" t="inlineStr">
        <is>
          <t>Actual</t>
        </is>
      </c>
      <c r="D15" s="201" t="inlineStr">
        <is>
          <t>Net Income</t>
        </is>
      </c>
      <c r="E15" s="146">
        <f>IS!B53</f>
        <v>33916</v>
      </c>
      <c r="F15" s="203" t="inlineStr">
        <is>
          <t>IS!B53</t>
        </is>
      </c>
      <c r="G15" s="204" t="inlineStr"/>
    </row>
    <row r="16">
      <c r="A16" s="201" t="inlineStr">
        <is>
          <t>FY24 Q1</t>
        </is>
      </c>
      <c r="B16" s="201" t="inlineStr">
        <is>
          <t>Actual</t>
        </is>
      </c>
      <c r="C16" s="202" t="inlineStr">
        <is>
          <t>Actual</t>
        </is>
      </c>
      <c r="D16" s="201" t="inlineStr">
        <is>
          <t>EPS</t>
        </is>
      </c>
      <c r="E16" s="148">
        <f>IS!B57</f>
        <v>2.18</v>
      </c>
      <c r="F16" s="203" t="inlineStr">
        <is>
          <t>IS!B57</t>
        </is>
      </c>
      <c r="G16" s="204" t="inlineStr"/>
    </row>
    <row r="17">
      <c r="A17" s="201" t="inlineStr">
        <is>
          <t>FY24 Q1</t>
        </is>
      </c>
      <c r="B17" s="201" t="inlineStr">
        <is>
          <t>Actual</t>
        </is>
      </c>
      <c r="C17" s="202" t="inlineStr">
        <is>
          <t>Actual</t>
        </is>
      </c>
      <c r="D17" s="201" t="inlineStr">
        <is>
          <t>Cash</t>
        </is>
      </c>
      <c r="E17" s="146">
        <f>BS!B9</f>
        <v>40760</v>
      </c>
      <c r="F17" s="203" t="inlineStr">
        <is>
          <t>BS!B9</t>
        </is>
      </c>
      <c r="G17" s="204" t="inlineStr"/>
    </row>
    <row r="18">
      <c r="A18" s="201" t="inlineStr">
        <is>
          <t>FY24 Q1</t>
        </is>
      </c>
      <c r="B18" s="201" t="inlineStr">
        <is>
          <t>Actual</t>
        </is>
      </c>
      <c r="C18" s="202" t="inlineStr">
        <is>
          <t>Actual</t>
        </is>
      </c>
      <c r="D18" s="201" t="inlineStr">
        <is>
          <t>R&amp;D $</t>
        </is>
      </c>
      <c r="E18" s="146">
        <f>IS!B47</f>
        <v>7696</v>
      </c>
      <c r="F18" s="203" t="inlineStr">
        <is>
          <t>IS!B47</t>
        </is>
      </c>
      <c r="G18" s="204" t="inlineStr"/>
    </row>
    <row r="19">
      <c r="A19" s="201" t="inlineStr">
        <is>
          <t>FY24 Q1</t>
        </is>
      </c>
      <c r="B19" s="201" t="inlineStr">
        <is>
          <t>Actual</t>
        </is>
      </c>
      <c r="C19" s="202" t="inlineStr">
        <is>
          <t>Actual</t>
        </is>
      </c>
      <c r="D19" s="201" t="inlineStr">
        <is>
          <t>SG&amp;A $</t>
        </is>
      </c>
      <c r="E19" s="146">
        <f>IS!B48</f>
        <v>6786</v>
      </c>
      <c r="F19" s="203" t="inlineStr">
        <is>
          <t>IS!B48</t>
        </is>
      </c>
      <c r="G19" s="204" t="inlineStr"/>
    </row>
    <row r="20">
      <c r="A20" s="201" t="inlineStr">
        <is>
          <t>FY24 Q1</t>
        </is>
      </c>
      <c r="B20" s="201" t="inlineStr">
        <is>
          <t>Actual</t>
        </is>
      </c>
      <c r="C20" s="202" t="inlineStr">
        <is>
          <t>Actual</t>
        </is>
      </c>
      <c r="D20" s="201" t="inlineStr">
        <is>
          <t>Operating Margin %</t>
        </is>
      </c>
      <c r="E20" s="142">
        <f>IS!B50</f>
        <v>0.337637466025507</v>
      </c>
      <c r="F20" s="203" t="inlineStr">
        <is>
          <t>IS!B50</t>
        </is>
      </c>
      <c r="G20" s="204" t="inlineStr"/>
    </row>
    <row r="21">
      <c r="A21" s="201" t="inlineStr">
        <is>
          <t>FY24 Q1</t>
        </is>
      </c>
      <c r="B21" s="201" t="inlineStr">
        <is>
          <t>Actual</t>
        </is>
      </c>
      <c r="C21" s="202" t="inlineStr">
        <is>
          <t>Actual</t>
        </is>
      </c>
      <c r="D21" s="201" t="inlineStr">
        <is>
          <t>AR $</t>
        </is>
      </c>
      <c r="E21" s="146">
        <f>BS!B11</f>
        <v>23194</v>
      </c>
      <c r="F21" s="203" t="inlineStr">
        <is>
          <t>BS!B11</t>
        </is>
      </c>
      <c r="G21" s="204" t="inlineStr"/>
    </row>
    <row r="22">
      <c r="A22" s="201" t="inlineStr">
        <is>
          <t>FY24 Q1</t>
        </is>
      </c>
      <c r="B22" s="201" t="inlineStr">
        <is>
          <t>Actual</t>
        </is>
      </c>
      <c r="C22" s="202" t="inlineStr">
        <is>
          <t>Actual</t>
        </is>
      </c>
      <c r="D22" s="201" t="inlineStr">
        <is>
          <t>Inventory $</t>
        </is>
      </c>
      <c r="E22" s="146">
        <f>BS!B13</f>
        <v>6511</v>
      </c>
      <c r="F22" s="203" t="inlineStr">
        <is>
          <t>BS!B13</t>
        </is>
      </c>
      <c r="G22" s="204" t="inlineStr"/>
    </row>
    <row r="23">
      <c r="A23" s="201" t="inlineStr">
        <is>
          <t>FY24 Q1</t>
        </is>
      </c>
      <c r="B23" s="201" t="inlineStr">
        <is>
          <t>Actual</t>
        </is>
      </c>
      <c r="C23" s="202" t="inlineStr">
        <is>
          <t>Actual</t>
        </is>
      </c>
      <c r="D23" s="201" t="inlineStr">
        <is>
          <t>AP $</t>
        </is>
      </c>
      <c r="E23" s="146">
        <f>BS!B22</f>
        <v>58146</v>
      </c>
      <c r="F23" s="203" t="inlineStr">
        <is>
          <t>BS!B22</t>
        </is>
      </c>
      <c r="G23" s="204" t="inlineStr"/>
    </row>
    <row r="24">
      <c r="A24" s="201" t="inlineStr">
        <is>
          <t>FY24 Q1</t>
        </is>
      </c>
      <c r="B24" s="201" t="inlineStr">
        <is>
          <t>Actual</t>
        </is>
      </c>
      <c r="C24" s="202" t="inlineStr">
        <is>
          <t>Actual</t>
        </is>
      </c>
      <c r="D24" s="201" t="inlineStr">
        <is>
          <t>Buyback $</t>
        </is>
      </c>
      <c r="E24" s="146">
        <f>CF!B25</f>
        <v>-20139</v>
      </c>
      <c r="F24" s="203" t="inlineStr">
        <is>
          <t>CF!B25</t>
        </is>
      </c>
      <c r="G24" s="204" t="inlineStr"/>
    </row>
    <row r="25">
      <c r="A25" s="201" t="inlineStr">
        <is>
          <t>FY24 Q1</t>
        </is>
      </c>
      <c r="B25" s="201" t="inlineStr">
        <is>
          <t>Actual</t>
        </is>
      </c>
      <c r="C25" s="202" t="inlineStr">
        <is>
          <t>Actual</t>
        </is>
      </c>
      <c r="D25" s="201" t="inlineStr">
        <is>
          <t>Dividend $</t>
        </is>
      </c>
      <c r="E25" s="146">
        <f>CF!B26</f>
        <v>-3825</v>
      </c>
      <c r="F25" s="203" t="inlineStr">
        <is>
          <t>CF!B26</t>
        </is>
      </c>
      <c r="G25" s="204" t="inlineStr"/>
    </row>
    <row r="26">
      <c r="A26" s="201" t="inlineStr">
        <is>
          <t>FY24 Q2</t>
        </is>
      </c>
      <c r="B26" s="201" t="inlineStr">
        <is>
          <t>Actual</t>
        </is>
      </c>
      <c r="C26" s="202" t="inlineStr">
        <is>
          <t>Actual</t>
        </is>
      </c>
      <c r="D26" s="201" t="inlineStr">
        <is>
          <t>Revenue</t>
        </is>
      </c>
      <c r="E26" s="146">
        <f>IS!C41</f>
        <v>90753</v>
      </c>
      <c r="F26" s="203" t="inlineStr">
        <is>
          <t>IS!C41</t>
        </is>
      </c>
      <c r="G26" s="204" t="inlineStr"/>
    </row>
    <row r="27">
      <c r="A27" s="201" t="inlineStr">
        <is>
          <t>FY24 Q2</t>
        </is>
      </c>
      <c r="B27" s="201" t="inlineStr">
        <is>
          <t>Actual</t>
        </is>
      </c>
      <c r="C27" s="202" t="inlineStr">
        <is>
          <t>Actual</t>
        </is>
      </c>
      <c r="D27" s="201" t="inlineStr">
        <is>
          <t>Gross Margin $</t>
        </is>
      </c>
      <c r="E27" s="146">
        <f>IS!C44</f>
        <v>42271</v>
      </c>
      <c r="F27" s="203" t="inlineStr">
        <is>
          <t>IS!C44</t>
        </is>
      </c>
      <c r="G27" s="204" t="inlineStr"/>
    </row>
    <row r="28">
      <c r="A28" s="201" t="inlineStr">
        <is>
          <t>FY24 Q2</t>
        </is>
      </c>
      <c r="B28" s="201" t="inlineStr">
        <is>
          <t>Actual</t>
        </is>
      </c>
      <c r="C28" s="202" t="inlineStr">
        <is>
          <t>Actual</t>
        </is>
      </c>
      <c r="D28" s="201" t="inlineStr">
        <is>
          <t>Gross Margin %</t>
        </is>
      </c>
      <c r="E28" s="142">
        <f>IS!C45</f>
        <v>0.465780745540092</v>
      </c>
      <c r="F28" s="203" t="inlineStr">
        <is>
          <t>IS!C45</t>
        </is>
      </c>
      <c r="G28" s="204" t="inlineStr"/>
    </row>
    <row r="29">
      <c r="A29" s="201" t="inlineStr">
        <is>
          <t>FY24 Q2</t>
        </is>
      </c>
      <c r="B29" s="201" t="inlineStr">
        <is>
          <t>Actual</t>
        </is>
      </c>
      <c r="C29" s="202" t="inlineStr">
        <is>
          <t>Actual</t>
        </is>
      </c>
      <c r="D29" s="201" t="inlineStr">
        <is>
          <t>Operating Income</t>
        </is>
      </c>
      <c r="E29" s="146">
        <f>IS!C49</f>
        <v>27900</v>
      </c>
      <c r="F29" s="203" t="inlineStr">
        <is>
          <t>IS!C49</t>
        </is>
      </c>
      <c r="G29" s="204" t="inlineStr"/>
    </row>
    <row r="30">
      <c r="A30" s="201" t="inlineStr">
        <is>
          <t>FY24 Q2</t>
        </is>
      </c>
      <c r="B30" s="201" t="inlineStr">
        <is>
          <t>Actual</t>
        </is>
      </c>
      <c r="C30" s="202" t="inlineStr">
        <is>
          <t>Actual</t>
        </is>
      </c>
      <c r="D30" s="201" t="inlineStr">
        <is>
          <t>Net Income</t>
        </is>
      </c>
      <c r="E30" s="146">
        <f>IS!C53</f>
        <v>23636</v>
      </c>
      <c r="F30" s="203" t="inlineStr">
        <is>
          <t>IS!C53</t>
        </is>
      </c>
      <c r="G30" s="204" t="inlineStr"/>
    </row>
    <row r="31">
      <c r="A31" s="201" t="inlineStr">
        <is>
          <t>FY24 Q2</t>
        </is>
      </c>
      <c r="B31" s="201" t="inlineStr">
        <is>
          <t>Actual</t>
        </is>
      </c>
      <c r="C31" s="202" t="inlineStr">
        <is>
          <t>Actual</t>
        </is>
      </c>
      <c r="D31" s="201" t="inlineStr">
        <is>
          <t>EPS</t>
        </is>
      </c>
      <c r="E31" s="148">
        <f>IS!C57</f>
        <v>1.53</v>
      </c>
      <c r="F31" s="203" t="inlineStr">
        <is>
          <t>IS!C57</t>
        </is>
      </c>
      <c r="G31" s="204" t="inlineStr"/>
    </row>
    <row r="32">
      <c r="A32" s="201" t="inlineStr">
        <is>
          <t>FY24 Q2</t>
        </is>
      </c>
      <c r="B32" s="201" t="inlineStr">
        <is>
          <t>Actual</t>
        </is>
      </c>
      <c r="C32" s="202" t="inlineStr">
        <is>
          <t>Actual</t>
        </is>
      </c>
      <c r="D32" s="201" t="inlineStr">
        <is>
          <t>Cash</t>
        </is>
      </c>
      <c r="E32" s="146">
        <f>BS!C9</f>
        <v>32695</v>
      </c>
      <c r="F32" s="203" t="inlineStr">
        <is>
          <t>BS!C9</t>
        </is>
      </c>
      <c r="G32" s="204" t="inlineStr"/>
    </row>
    <row r="33">
      <c r="A33" s="201" t="inlineStr">
        <is>
          <t>FY24 Q2</t>
        </is>
      </c>
      <c r="B33" s="201" t="inlineStr">
        <is>
          <t>Actual</t>
        </is>
      </c>
      <c r="C33" s="202" t="inlineStr">
        <is>
          <t>Actual</t>
        </is>
      </c>
      <c r="D33" s="201" t="inlineStr">
        <is>
          <t>R&amp;D $</t>
        </is>
      </c>
      <c r="E33" s="146">
        <f>IS!C47</f>
        <v>7903</v>
      </c>
      <c r="F33" s="203" t="inlineStr">
        <is>
          <t>IS!C47</t>
        </is>
      </c>
      <c r="G33" s="204" t="inlineStr"/>
    </row>
    <row r="34">
      <c r="A34" s="201" t="inlineStr">
        <is>
          <t>FY24 Q2</t>
        </is>
      </c>
      <c r="B34" s="201" t="inlineStr">
        <is>
          <t>Actual</t>
        </is>
      </c>
      <c r="C34" s="202" t="inlineStr">
        <is>
          <t>Actual</t>
        </is>
      </c>
      <c r="D34" s="201" t="inlineStr">
        <is>
          <t>SG&amp;A $</t>
        </is>
      </c>
      <c r="E34" s="146">
        <f>IS!C48</f>
        <v>6468</v>
      </c>
      <c r="F34" s="203" t="inlineStr">
        <is>
          <t>IS!C48</t>
        </is>
      </c>
      <c r="G34" s="204" t="inlineStr"/>
    </row>
    <row r="35">
      <c r="A35" s="201" t="inlineStr">
        <is>
          <t>FY24 Q2</t>
        </is>
      </c>
      <c r="B35" s="201" t="inlineStr">
        <is>
          <t>Actual</t>
        </is>
      </c>
      <c r="C35" s="202" t="inlineStr">
        <is>
          <t>Actual</t>
        </is>
      </c>
      <c r="D35" s="201" t="inlineStr">
        <is>
          <t>Operating Margin %</t>
        </is>
      </c>
      <c r="E35" s="142">
        <f>IS!C50</f>
        <v>0.307427853624674</v>
      </c>
      <c r="F35" s="203" t="inlineStr">
        <is>
          <t>IS!C50</t>
        </is>
      </c>
      <c r="G35" s="204" t="inlineStr"/>
    </row>
    <row r="36">
      <c r="A36" s="201" t="inlineStr">
        <is>
          <t>FY24 Q2</t>
        </is>
      </c>
      <c r="B36" s="201" t="inlineStr">
        <is>
          <t>Actual</t>
        </is>
      </c>
      <c r="C36" s="202" t="inlineStr">
        <is>
          <t>Actual</t>
        </is>
      </c>
      <c r="D36" s="201" t="inlineStr">
        <is>
          <t>AR $</t>
        </is>
      </c>
      <c r="E36" s="146">
        <f>BS!C11</f>
        <v>21837</v>
      </c>
      <c r="F36" s="203" t="inlineStr">
        <is>
          <t>BS!C11</t>
        </is>
      </c>
      <c r="G36" s="204" t="inlineStr"/>
    </row>
    <row r="37">
      <c r="A37" s="201" t="inlineStr">
        <is>
          <t>FY24 Q2</t>
        </is>
      </c>
      <c r="B37" s="201" t="inlineStr">
        <is>
          <t>Actual</t>
        </is>
      </c>
      <c r="C37" s="202" t="inlineStr">
        <is>
          <t>Actual</t>
        </is>
      </c>
      <c r="D37" s="201" t="inlineStr">
        <is>
          <t>Inventory $</t>
        </is>
      </c>
      <c r="E37" s="146">
        <f>BS!C13</f>
        <v>6232</v>
      </c>
      <c r="F37" s="203" t="inlineStr">
        <is>
          <t>BS!C13</t>
        </is>
      </c>
      <c r="G37" s="204" t="inlineStr"/>
    </row>
    <row r="38">
      <c r="A38" s="201" t="inlineStr">
        <is>
          <t>FY24 Q2</t>
        </is>
      </c>
      <c r="B38" s="201" t="inlineStr">
        <is>
          <t>Actual</t>
        </is>
      </c>
      <c r="C38" s="202" t="inlineStr">
        <is>
          <t>Actual</t>
        </is>
      </c>
      <c r="D38" s="201" t="inlineStr">
        <is>
          <t>AP $</t>
        </is>
      </c>
      <c r="E38" s="146">
        <f>BS!C22</f>
        <v>45753</v>
      </c>
      <c r="F38" s="203" t="inlineStr">
        <is>
          <t>BS!C22</t>
        </is>
      </c>
      <c r="G38" s="204" t="inlineStr"/>
    </row>
    <row r="39">
      <c r="A39" s="201" t="inlineStr">
        <is>
          <t>FY24 Q2</t>
        </is>
      </c>
      <c r="B39" s="201" t="inlineStr">
        <is>
          <t>Actual</t>
        </is>
      </c>
      <c r="C39" s="202" t="inlineStr">
        <is>
          <t>Actual</t>
        </is>
      </c>
      <c r="D39" s="201" t="inlineStr">
        <is>
          <t>Buyback $</t>
        </is>
      </c>
      <c r="E39" s="146">
        <f>CF!C25</f>
        <v>-23205</v>
      </c>
      <c r="F39" s="203" t="inlineStr">
        <is>
          <t>CF!C25</t>
        </is>
      </c>
      <c r="G39" s="204" t="inlineStr"/>
    </row>
    <row r="40">
      <c r="A40" s="201" t="inlineStr">
        <is>
          <t>FY24 Q2</t>
        </is>
      </c>
      <c r="B40" s="201" t="inlineStr">
        <is>
          <t>Actual</t>
        </is>
      </c>
      <c r="C40" s="202" t="inlineStr">
        <is>
          <t>Actual</t>
        </is>
      </c>
      <c r="D40" s="201" t="inlineStr">
        <is>
          <t>Dividend $</t>
        </is>
      </c>
      <c r="E40" s="146">
        <f>CF!C26</f>
        <v>-3710</v>
      </c>
      <c r="F40" s="203" t="inlineStr">
        <is>
          <t>CF!C26</t>
        </is>
      </c>
      <c r="G40" s="204" t="inlineStr"/>
    </row>
    <row r="41">
      <c r="A41" s="201" t="inlineStr">
        <is>
          <t>FY24 Q3</t>
        </is>
      </c>
      <c r="B41" s="201" t="inlineStr">
        <is>
          <t>Actual</t>
        </is>
      </c>
      <c r="C41" s="202" t="inlineStr">
        <is>
          <t>Actual</t>
        </is>
      </c>
      <c r="D41" s="201" t="inlineStr">
        <is>
          <t>Revenue</t>
        </is>
      </c>
      <c r="E41" s="146">
        <f>IS!D41</f>
        <v>85777</v>
      </c>
      <c r="F41" s="203" t="inlineStr">
        <is>
          <t>IS!D41</t>
        </is>
      </c>
      <c r="G41" s="204" t="inlineStr"/>
    </row>
    <row r="42">
      <c r="A42" s="201" t="inlineStr">
        <is>
          <t>FY24 Q3</t>
        </is>
      </c>
      <c r="B42" s="201" t="inlineStr">
        <is>
          <t>Actual</t>
        </is>
      </c>
      <c r="C42" s="202" t="inlineStr">
        <is>
          <t>Actual</t>
        </is>
      </c>
      <c r="D42" s="201" t="inlineStr">
        <is>
          <t>Gross Margin $</t>
        </is>
      </c>
      <c r="E42" s="146">
        <f>IS!D44</f>
        <v>39678</v>
      </c>
      <c r="F42" s="203" t="inlineStr">
        <is>
          <t>IS!D44</t>
        </is>
      </c>
      <c r="G42" s="204" t="inlineStr"/>
    </row>
    <row r="43">
      <c r="A43" s="201" t="inlineStr">
        <is>
          <t>FY24 Q3</t>
        </is>
      </c>
      <c r="B43" s="201" t="inlineStr">
        <is>
          <t>Actual</t>
        </is>
      </c>
      <c r="C43" s="202" t="inlineStr">
        <is>
          <t>Actual</t>
        </is>
      </c>
      <c r="D43" s="201" t="inlineStr">
        <is>
          <t>Gross Margin %</t>
        </is>
      </c>
      <c r="E43" s="142">
        <f>IS!D45</f>
        <v>0.462571551814589</v>
      </c>
      <c r="F43" s="203" t="inlineStr">
        <is>
          <t>IS!D45</t>
        </is>
      </c>
      <c r="G43" s="204" t="inlineStr"/>
    </row>
    <row r="44">
      <c r="A44" s="201" t="inlineStr">
        <is>
          <t>FY24 Q3</t>
        </is>
      </c>
      <c r="B44" s="201" t="inlineStr">
        <is>
          <t>Actual</t>
        </is>
      </c>
      <c r="C44" s="202" t="inlineStr">
        <is>
          <t>Actual</t>
        </is>
      </c>
      <c r="D44" s="201" t="inlineStr">
        <is>
          <t>Operating Income</t>
        </is>
      </c>
      <c r="E44" s="146">
        <f>IS!D49</f>
        <v>25352</v>
      </c>
      <c r="F44" s="203" t="inlineStr">
        <is>
          <t>IS!D49</t>
        </is>
      </c>
      <c r="G44" s="204" t="inlineStr"/>
    </row>
    <row r="45">
      <c r="A45" s="201" t="inlineStr">
        <is>
          <t>FY24 Q3</t>
        </is>
      </c>
      <c r="B45" s="201" t="inlineStr">
        <is>
          <t>Actual</t>
        </is>
      </c>
      <c r="C45" s="202" t="inlineStr">
        <is>
          <t>Actual</t>
        </is>
      </c>
      <c r="D45" s="201" t="inlineStr">
        <is>
          <t>Net Income</t>
        </is>
      </c>
      <c r="E45" s="146">
        <f>IS!D53</f>
        <v>21448</v>
      </c>
      <c r="F45" s="203" t="inlineStr">
        <is>
          <t>IS!D53</t>
        </is>
      </c>
      <c r="G45" s="204" t="inlineStr"/>
    </row>
    <row r="46">
      <c r="A46" s="201" t="inlineStr">
        <is>
          <t>FY24 Q3</t>
        </is>
      </c>
      <c r="B46" s="201" t="inlineStr">
        <is>
          <t>Actual</t>
        </is>
      </c>
      <c r="C46" s="202" t="inlineStr">
        <is>
          <t>Actual</t>
        </is>
      </c>
      <c r="D46" s="201" t="inlineStr">
        <is>
          <t>EPS</t>
        </is>
      </c>
      <c r="E46" s="148">
        <f>IS!D57</f>
        <v>1.4</v>
      </c>
      <c r="F46" s="203" t="inlineStr">
        <is>
          <t>IS!D57</t>
        </is>
      </c>
      <c r="G46" s="204" t="inlineStr"/>
    </row>
    <row r="47">
      <c r="A47" s="201" t="inlineStr">
        <is>
          <t>FY24 Q3</t>
        </is>
      </c>
      <c r="B47" s="201" t="inlineStr">
        <is>
          <t>Actual</t>
        </is>
      </c>
      <c r="C47" s="202" t="inlineStr">
        <is>
          <t>Actual</t>
        </is>
      </c>
      <c r="D47" s="201" t="inlineStr">
        <is>
          <t>Cash</t>
        </is>
      </c>
      <c r="E47" s="146">
        <f>BS!D9</f>
        <v>25565</v>
      </c>
      <c r="F47" s="203" t="inlineStr">
        <is>
          <t>BS!D9</t>
        </is>
      </c>
      <c r="G47" s="204" t="inlineStr"/>
    </row>
    <row r="48">
      <c r="A48" s="201" t="inlineStr">
        <is>
          <t>FY24 Q3</t>
        </is>
      </c>
      <c r="B48" s="201" t="inlineStr">
        <is>
          <t>Actual</t>
        </is>
      </c>
      <c r="C48" s="202" t="inlineStr">
        <is>
          <t>Actual</t>
        </is>
      </c>
      <c r="D48" s="201" t="inlineStr">
        <is>
          <t>R&amp;D $</t>
        </is>
      </c>
      <c r="E48" s="146">
        <f>IS!D47</f>
        <v>8006</v>
      </c>
      <c r="F48" s="203" t="inlineStr">
        <is>
          <t>IS!D47</t>
        </is>
      </c>
      <c r="G48" s="204" t="inlineStr"/>
    </row>
    <row r="49">
      <c r="A49" s="201" t="inlineStr">
        <is>
          <t>FY24 Q3</t>
        </is>
      </c>
      <c r="B49" s="201" t="inlineStr">
        <is>
          <t>Actual</t>
        </is>
      </c>
      <c r="C49" s="202" t="inlineStr">
        <is>
          <t>Actual</t>
        </is>
      </c>
      <c r="D49" s="201" t="inlineStr">
        <is>
          <t>SG&amp;A $</t>
        </is>
      </c>
      <c r="E49" s="146">
        <f>IS!D48</f>
        <v>6320</v>
      </c>
      <c r="F49" s="203" t="inlineStr">
        <is>
          <t>IS!D48</t>
        </is>
      </c>
      <c r="G49" s="204" t="inlineStr"/>
    </row>
    <row r="50">
      <c r="A50" s="201" t="inlineStr">
        <is>
          <t>FY24 Q3</t>
        </is>
      </c>
      <c r="B50" s="201" t="inlineStr">
        <is>
          <t>Actual</t>
        </is>
      </c>
      <c r="C50" s="202" t="inlineStr">
        <is>
          <t>Actual</t>
        </is>
      </c>
      <c r="D50" s="201" t="inlineStr">
        <is>
          <t>Operating Margin %</t>
        </is>
      </c>
      <c r="E50" s="142">
        <f>IS!D50</f>
        <v>0.295557084066824</v>
      </c>
      <c r="F50" s="203" t="inlineStr">
        <is>
          <t>IS!D50</t>
        </is>
      </c>
      <c r="G50" s="204" t="inlineStr"/>
    </row>
    <row r="51">
      <c r="A51" s="201" t="inlineStr">
        <is>
          <t>FY24 Q3</t>
        </is>
      </c>
      <c r="B51" s="201" t="inlineStr">
        <is>
          <t>Actual</t>
        </is>
      </c>
      <c r="C51" s="202" t="inlineStr">
        <is>
          <t>Actual</t>
        </is>
      </c>
      <c r="D51" s="201" t="inlineStr">
        <is>
          <t>AR $</t>
        </is>
      </c>
      <c r="E51" s="146">
        <f>BS!D11</f>
        <v>22795</v>
      </c>
      <c r="F51" s="203" t="inlineStr">
        <is>
          <t>BS!D11</t>
        </is>
      </c>
      <c r="G51" s="204" t="inlineStr"/>
    </row>
    <row r="52">
      <c r="A52" s="201" t="inlineStr">
        <is>
          <t>FY24 Q3</t>
        </is>
      </c>
      <c r="B52" s="201" t="inlineStr">
        <is>
          <t>Actual</t>
        </is>
      </c>
      <c r="C52" s="202" t="inlineStr">
        <is>
          <t>Actual</t>
        </is>
      </c>
      <c r="D52" s="201" t="inlineStr">
        <is>
          <t>Inventory $</t>
        </is>
      </c>
      <c r="E52" s="146">
        <f>BS!D13</f>
        <v>6165</v>
      </c>
      <c r="F52" s="203" t="inlineStr">
        <is>
          <t>BS!D13</t>
        </is>
      </c>
      <c r="G52" s="204" t="inlineStr"/>
    </row>
    <row r="53">
      <c r="A53" s="201" t="inlineStr">
        <is>
          <t>FY24 Q3</t>
        </is>
      </c>
      <c r="B53" s="201" t="inlineStr">
        <is>
          <t>Actual</t>
        </is>
      </c>
      <c r="C53" s="202" t="inlineStr">
        <is>
          <t>Actual</t>
        </is>
      </c>
      <c r="D53" s="201" t="inlineStr">
        <is>
          <t>AP $</t>
        </is>
      </c>
      <c r="E53" s="146">
        <f>BS!D22</f>
        <v>47574</v>
      </c>
      <c r="F53" s="203" t="inlineStr">
        <is>
          <t>BS!D22</t>
        </is>
      </c>
      <c r="G53" s="204" t="inlineStr"/>
    </row>
    <row r="54">
      <c r="A54" s="201" t="inlineStr">
        <is>
          <t>FY24 Q3</t>
        </is>
      </c>
      <c r="B54" s="201" t="inlineStr">
        <is>
          <t>Actual</t>
        </is>
      </c>
      <c r="C54" s="202" t="inlineStr">
        <is>
          <t>Actual</t>
        </is>
      </c>
      <c r="D54" s="201" t="inlineStr">
        <is>
          <t>Buyback $</t>
        </is>
      </c>
      <c r="E54" s="146">
        <f>CF!D25</f>
        <v>-26522</v>
      </c>
      <c r="F54" s="203" t="inlineStr">
        <is>
          <t>CF!D25</t>
        </is>
      </c>
      <c r="G54" s="204" t="inlineStr"/>
    </row>
    <row r="55">
      <c r="A55" s="201" t="inlineStr">
        <is>
          <t>FY24 Q3</t>
        </is>
      </c>
      <c r="B55" s="201" t="inlineStr">
        <is>
          <t>Actual</t>
        </is>
      </c>
      <c r="C55" s="202" t="inlineStr">
        <is>
          <t>Actual</t>
        </is>
      </c>
      <c r="D55" s="201" t="inlineStr">
        <is>
          <t>Dividend $</t>
        </is>
      </c>
      <c r="E55" s="146">
        <f>CF!D26</f>
        <v>-3895</v>
      </c>
      <c r="F55" s="203" t="inlineStr">
        <is>
          <t>CF!D26</t>
        </is>
      </c>
      <c r="G55" s="204" t="inlineStr"/>
    </row>
    <row r="56">
      <c r="A56" s="201" t="inlineStr">
        <is>
          <t>FY24 Q4</t>
        </is>
      </c>
      <c r="B56" s="201" t="inlineStr">
        <is>
          <t>Actual</t>
        </is>
      </c>
      <c r="C56" s="202" t="inlineStr">
        <is>
          <t>Actual</t>
        </is>
      </c>
      <c r="D56" s="201" t="inlineStr">
        <is>
          <t>Revenue</t>
        </is>
      </c>
      <c r="E56" s="146">
        <f>IS!E41</f>
        <v>94930</v>
      </c>
      <c r="F56" s="203" t="inlineStr">
        <is>
          <t>IS!E41</t>
        </is>
      </c>
      <c r="G56" s="204" t="inlineStr"/>
    </row>
    <row r="57">
      <c r="A57" s="201" t="inlineStr">
        <is>
          <t>FY24 Q4</t>
        </is>
      </c>
      <c r="B57" s="201" t="inlineStr">
        <is>
          <t>Actual</t>
        </is>
      </c>
      <c r="C57" s="202" t="inlineStr">
        <is>
          <t>Actual</t>
        </is>
      </c>
      <c r="D57" s="201" t="inlineStr">
        <is>
          <t>Gross Margin $</t>
        </is>
      </c>
      <c r="E57" s="146">
        <f>IS!E44</f>
        <v>43879</v>
      </c>
      <c r="F57" s="203" t="inlineStr">
        <is>
          <t>IS!E44</t>
        </is>
      </c>
      <c r="G57" s="204" t="inlineStr"/>
    </row>
    <row r="58">
      <c r="A58" s="201" t="inlineStr">
        <is>
          <t>FY24 Q4</t>
        </is>
      </c>
      <c r="B58" s="201" t="inlineStr">
        <is>
          <t>Actual</t>
        </is>
      </c>
      <c r="C58" s="202" t="inlineStr">
        <is>
          <t>Actual</t>
        </is>
      </c>
      <c r="D58" s="201" t="inlineStr">
        <is>
          <t>Gross Margin %</t>
        </is>
      </c>
      <c r="E58" s="142">
        <f>IS!E45</f>
        <v>0.462224797219004</v>
      </c>
      <c r="F58" s="203" t="inlineStr">
        <is>
          <t>IS!E45</t>
        </is>
      </c>
      <c r="G58" s="204" t="inlineStr"/>
    </row>
    <row r="59">
      <c r="A59" s="201" t="inlineStr">
        <is>
          <t>FY24 Q4</t>
        </is>
      </c>
      <c r="B59" s="201" t="inlineStr">
        <is>
          <t>Actual</t>
        </is>
      </c>
      <c r="C59" s="202" t="inlineStr">
        <is>
          <t>Actual</t>
        </is>
      </c>
      <c r="D59" s="201" t="inlineStr">
        <is>
          <t>Operating Income</t>
        </is>
      </c>
      <c r="E59" s="146">
        <f>IS!E49</f>
        <v>29591</v>
      </c>
      <c r="F59" s="203" t="inlineStr">
        <is>
          <t>IS!E49</t>
        </is>
      </c>
      <c r="G59" s="204" t="inlineStr"/>
    </row>
    <row r="60">
      <c r="A60" s="201" t="inlineStr">
        <is>
          <t>FY24 Q4</t>
        </is>
      </c>
      <c r="B60" s="201" t="inlineStr">
        <is>
          <t>Actual</t>
        </is>
      </c>
      <c r="C60" s="202" t="inlineStr">
        <is>
          <t>Actual</t>
        </is>
      </c>
      <c r="D60" s="201" t="inlineStr">
        <is>
          <t>Net Income</t>
        </is>
      </c>
      <c r="E60" s="146">
        <f>IS!E53</f>
        <v>14736</v>
      </c>
      <c r="F60" s="203" t="inlineStr">
        <is>
          <t>IS!E53</t>
        </is>
      </c>
      <c r="G60" s="204" t="inlineStr"/>
    </row>
    <row r="61">
      <c r="A61" s="201" t="inlineStr">
        <is>
          <t>FY24 Q4</t>
        </is>
      </c>
      <c r="B61" s="201" t="inlineStr">
        <is>
          <t>Actual</t>
        </is>
      </c>
      <c r="C61" s="202" t="inlineStr">
        <is>
          <t>Actual</t>
        </is>
      </c>
      <c r="D61" s="201" t="inlineStr">
        <is>
          <t>EPS</t>
        </is>
      </c>
      <c r="E61" s="148">
        <f>IS!E57</f>
        <v>0.97</v>
      </c>
      <c r="F61" s="203" t="inlineStr">
        <is>
          <t>IS!E57</t>
        </is>
      </c>
      <c r="G61" s="204" t="inlineStr"/>
    </row>
    <row r="62">
      <c r="A62" s="201" t="inlineStr">
        <is>
          <t>FY24 Q4</t>
        </is>
      </c>
      <c r="B62" s="201" t="inlineStr">
        <is>
          <t>Actual</t>
        </is>
      </c>
      <c r="C62" s="202" t="inlineStr">
        <is>
          <t>Actual</t>
        </is>
      </c>
      <c r="D62" s="201" t="inlineStr">
        <is>
          <t>Cash</t>
        </is>
      </c>
      <c r="E62" s="146">
        <f>BS!E9</f>
        <v>29943</v>
      </c>
      <c r="F62" s="203" t="inlineStr">
        <is>
          <t>BS!E9</t>
        </is>
      </c>
      <c r="G62" s="204" t="inlineStr"/>
    </row>
    <row r="63">
      <c r="A63" s="201" t="inlineStr">
        <is>
          <t>FY24 Q4</t>
        </is>
      </c>
      <c r="B63" s="201" t="inlineStr">
        <is>
          <t>Actual</t>
        </is>
      </c>
      <c r="C63" s="202" t="inlineStr">
        <is>
          <t>Actual</t>
        </is>
      </c>
      <c r="D63" s="201" t="inlineStr">
        <is>
          <t>R&amp;D $</t>
        </is>
      </c>
      <c r="E63" s="146">
        <f>IS!E47</f>
        <v>7765</v>
      </c>
      <c r="F63" s="203" t="inlineStr">
        <is>
          <t>IS!E47</t>
        </is>
      </c>
      <c r="G63" s="204" t="inlineStr"/>
    </row>
    <row r="64">
      <c r="A64" s="201" t="inlineStr">
        <is>
          <t>FY24 Q4</t>
        </is>
      </c>
      <c r="B64" s="201" t="inlineStr">
        <is>
          <t>Actual</t>
        </is>
      </c>
      <c r="C64" s="202" t="inlineStr">
        <is>
          <t>Actual</t>
        </is>
      </c>
      <c r="D64" s="201" t="inlineStr">
        <is>
          <t>SG&amp;A $</t>
        </is>
      </c>
      <c r="E64" s="146">
        <f>IS!E48</f>
        <v>6523</v>
      </c>
      <c r="F64" s="203" t="inlineStr">
        <is>
          <t>IS!E48</t>
        </is>
      </c>
      <c r="G64" s="204" t="inlineStr"/>
    </row>
    <row r="65">
      <c r="A65" s="201" t="inlineStr">
        <is>
          <t>FY24 Q4</t>
        </is>
      </c>
      <c r="B65" s="201" t="inlineStr">
        <is>
          <t>Actual</t>
        </is>
      </c>
      <c r="C65" s="202" t="inlineStr">
        <is>
          <t>Actual</t>
        </is>
      </c>
      <c r="D65" s="201" t="inlineStr">
        <is>
          <t>Operating Margin %</t>
        </is>
      </c>
      <c r="E65" s="142">
        <f>IS!E50</f>
        <v>0.311713894448541</v>
      </c>
      <c r="F65" s="203" t="inlineStr">
        <is>
          <t>IS!E50</t>
        </is>
      </c>
      <c r="G65" s="204" t="inlineStr"/>
    </row>
    <row r="66">
      <c r="A66" s="201" t="inlineStr">
        <is>
          <t>FY24 Q4</t>
        </is>
      </c>
      <c r="B66" s="201" t="inlineStr">
        <is>
          <t>Actual</t>
        </is>
      </c>
      <c r="C66" s="202" t="inlineStr">
        <is>
          <t>Actual</t>
        </is>
      </c>
      <c r="D66" s="201" t="inlineStr">
        <is>
          <t>AR $</t>
        </is>
      </c>
      <c r="E66" s="146">
        <f>BS!E11</f>
        <v>33410</v>
      </c>
      <c r="F66" s="203" t="inlineStr">
        <is>
          <t>BS!E11</t>
        </is>
      </c>
      <c r="G66" s="204" t="inlineStr"/>
    </row>
    <row r="67">
      <c r="A67" s="201" t="inlineStr">
        <is>
          <t>FY24 Q4</t>
        </is>
      </c>
      <c r="B67" s="201" t="inlineStr">
        <is>
          <t>Actual</t>
        </is>
      </c>
      <c r="C67" s="202" t="inlineStr">
        <is>
          <t>Actual</t>
        </is>
      </c>
      <c r="D67" s="201" t="inlineStr">
        <is>
          <t>Inventory $</t>
        </is>
      </c>
      <c r="E67" s="146">
        <f>BS!E13</f>
        <v>7286</v>
      </c>
      <c r="F67" s="203" t="inlineStr">
        <is>
          <t>BS!E13</t>
        </is>
      </c>
      <c r="G67" s="204" t="inlineStr"/>
    </row>
    <row r="68">
      <c r="A68" s="201" t="inlineStr">
        <is>
          <t>FY24 Q4</t>
        </is>
      </c>
      <c r="B68" s="201" t="inlineStr">
        <is>
          <t>Actual</t>
        </is>
      </c>
      <c r="C68" s="202" t="inlineStr">
        <is>
          <t>Actual</t>
        </is>
      </c>
      <c r="D68" s="201" t="inlineStr">
        <is>
          <t>AP $</t>
        </is>
      </c>
      <c r="E68" s="146">
        <f>BS!E22</f>
        <v>68960</v>
      </c>
      <c r="F68" s="203" t="inlineStr">
        <is>
          <t>BS!E22</t>
        </is>
      </c>
      <c r="G68" s="204" t="inlineStr"/>
    </row>
    <row r="69">
      <c r="A69" s="201" t="inlineStr">
        <is>
          <t>FY24 Q4</t>
        </is>
      </c>
      <c r="B69" s="201" t="inlineStr">
        <is>
          <t>Actual</t>
        </is>
      </c>
      <c r="C69" s="202" t="inlineStr">
        <is>
          <t>Actual</t>
        </is>
      </c>
      <c r="D69" s="201" t="inlineStr">
        <is>
          <t>Buyback $</t>
        </is>
      </c>
      <c r="E69" s="146">
        <f>CF!E25</f>
        <v>-25083</v>
      </c>
      <c r="F69" s="203" t="inlineStr">
        <is>
          <t>CF!E25</t>
        </is>
      </c>
      <c r="G69" s="204" t="inlineStr"/>
    </row>
    <row r="70">
      <c r="A70" s="201" t="inlineStr">
        <is>
          <t>FY24 Q4</t>
        </is>
      </c>
      <c r="B70" s="201" t="inlineStr">
        <is>
          <t>Actual</t>
        </is>
      </c>
      <c r="C70" s="202" t="inlineStr">
        <is>
          <t>Actual</t>
        </is>
      </c>
      <c r="D70" s="201" t="inlineStr">
        <is>
          <t>Dividend $</t>
        </is>
      </c>
      <c r="E70" s="146">
        <f>CF!E26</f>
        <v>-3804</v>
      </c>
      <c r="F70" s="203" t="inlineStr">
        <is>
          <t>CF!E26</t>
        </is>
      </c>
      <c r="G70" s="204" t="inlineStr"/>
    </row>
    <row r="71">
      <c r="A71" s="201" t="inlineStr">
        <is>
          <t>FY24 Q4</t>
        </is>
      </c>
      <c r="B71" s="201" t="inlineStr">
        <is>
          <t>Actual</t>
        </is>
      </c>
      <c r="C71" s="202" t="inlineStr">
        <is>
          <t>Actual</t>
        </is>
      </c>
      <c r="D71" s="201" t="inlineStr">
        <is>
          <t>Total Assets $</t>
        </is>
      </c>
      <c r="E71" s="146">
        <f>BS!E20</f>
        <v>364980</v>
      </c>
      <c r="F71" s="203" t="inlineStr">
        <is>
          <t>BS!E20</t>
        </is>
      </c>
      <c r="G71" s="204" t="inlineStr"/>
    </row>
    <row r="72">
      <c r="A72" s="201" t="inlineStr">
        <is>
          <t>FY24 Q4</t>
        </is>
      </c>
      <c r="B72" s="201" t="inlineStr">
        <is>
          <t>Actual</t>
        </is>
      </c>
      <c r="C72" s="202" t="inlineStr">
        <is>
          <t>Actual</t>
        </is>
      </c>
      <c r="D72" s="201" t="inlineStr">
        <is>
          <t>Total Liabilities $</t>
        </is>
      </c>
      <c r="E72" s="146">
        <f>BS!E31</f>
        <v>308030</v>
      </c>
      <c r="F72" s="203" t="inlineStr">
        <is>
          <t>BS!E31</t>
        </is>
      </c>
      <c r="G72" s="204" t="inlineStr"/>
    </row>
    <row r="73">
      <c r="A73" s="201" t="inlineStr">
        <is>
          <t>FY24 Q4</t>
        </is>
      </c>
      <c r="B73" s="201" t="inlineStr">
        <is>
          <t>Actual</t>
        </is>
      </c>
      <c r="C73" s="202" t="inlineStr">
        <is>
          <t>Actual</t>
        </is>
      </c>
      <c r="D73" s="201" t="inlineStr">
        <is>
          <t>Total Equity $</t>
        </is>
      </c>
      <c r="E73" s="146">
        <f>BS!E36</f>
        <v>56950</v>
      </c>
      <c r="F73" s="203" t="inlineStr">
        <is>
          <t>BS!E36</t>
        </is>
      </c>
      <c r="G73" s="204" t="inlineStr"/>
    </row>
    <row r="74">
      <c r="A74" s="201" t="inlineStr">
        <is>
          <t>FY25 Q1</t>
        </is>
      </c>
      <c r="B74" s="201" t="inlineStr">
        <is>
          <t>Actual</t>
        </is>
      </c>
      <c r="C74" s="202" t="inlineStr">
        <is>
          <t>Actual</t>
        </is>
      </c>
      <c r="D74" s="201" t="inlineStr">
        <is>
          <t>Revenue</t>
        </is>
      </c>
      <c r="E74" s="146">
        <f>IS!F41</f>
        <v>124300</v>
      </c>
      <c r="F74" s="203" t="inlineStr">
        <is>
          <t>IS!F41</t>
        </is>
      </c>
      <c r="G74" s="204" t="inlineStr"/>
    </row>
    <row r="75">
      <c r="A75" s="201" t="inlineStr">
        <is>
          <t>FY25 Q1</t>
        </is>
      </c>
      <c r="B75" s="201" t="inlineStr">
        <is>
          <t>Actual</t>
        </is>
      </c>
      <c r="C75" s="202" t="inlineStr">
        <is>
          <t>Actual</t>
        </is>
      </c>
      <c r="D75" s="201" t="inlineStr">
        <is>
          <t>Gross Margin $</t>
        </is>
      </c>
      <c r="E75" s="146">
        <f>IS!F44</f>
        <v>58275</v>
      </c>
      <c r="F75" s="203" t="inlineStr">
        <is>
          <t>IS!F44</t>
        </is>
      </c>
      <c r="G75" s="204" t="inlineStr"/>
    </row>
    <row r="76">
      <c r="A76" s="201" t="inlineStr">
        <is>
          <t>FY25 Q1</t>
        </is>
      </c>
      <c r="B76" s="201" t="inlineStr">
        <is>
          <t>Actual</t>
        </is>
      </c>
      <c r="C76" s="202" t="inlineStr">
        <is>
          <t>Actual</t>
        </is>
      </c>
      <c r="D76" s="201" t="inlineStr">
        <is>
          <t>Gross Margin %</t>
        </is>
      </c>
      <c r="E76" s="142">
        <f>IS!F45</f>
        <v>0.468825422365245</v>
      </c>
      <c r="F76" s="203" t="inlineStr">
        <is>
          <t>IS!F45</t>
        </is>
      </c>
      <c r="G76" s="204" t="inlineStr"/>
    </row>
    <row r="77">
      <c r="A77" s="201" t="inlineStr">
        <is>
          <t>FY25 Q1</t>
        </is>
      </c>
      <c r="B77" s="201" t="inlineStr">
        <is>
          <t>Actual</t>
        </is>
      </c>
      <c r="C77" s="202" t="inlineStr">
        <is>
          <t>Actual</t>
        </is>
      </c>
      <c r="D77" s="201" t="inlineStr">
        <is>
          <t>Operating Income</t>
        </is>
      </c>
      <c r="E77" s="146">
        <f>IS!F49</f>
        <v>42832</v>
      </c>
      <c r="F77" s="203" t="inlineStr">
        <is>
          <t>IS!F49</t>
        </is>
      </c>
      <c r="G77" s="204" t="inlineStr"/>
    </row>
    <row r="78">
      <c r="A78" s="201" t="inlineStr">
        <is>
          <t>FY25 Q1</t>
        </is>
      </c>
      <c r="B78" s="201" t="inlineStr">
        <is>
          <t>Actual</t>
        </is>
      </c>
      <c r="C78" s="202" t="inlineStr">
        <is>
          <t>Actual</t>
        </is>
      </c>
      <c r="D78" s="201" t="inlineStr">
        <is>
          <t>Net Income</t>
        </is>
      </c>
      <c r="E78" s="146">
        <f>IS!F53</f>
        <v>36330</v>
      </c>
      <c r="F78" s="203" t="inlineStr">
        <is>
          <t>IS!F53</t>
        </is>
      </c>
      <c r="G78" s="204" t="inlineStr"/>
    </row>
    <row r="79">
      <c r="A79" s="201" t="inlineStr">
        <is>
          <t>FY25 Q1</t>
        </is>
      </c>
      <c r="B79" s="201" t="inlineStr">
        <is>
          <t>Actual</t>
        </is>
      </c>
      <c r="C79" s="202" t="inlineStr">
        <is>
          <t>Actual</t>
        </is>
      </c>
      <c r="D79" s="201" t="inlineStr">
        <is>
          <t>EPS</t>
        </is>
      </c>
      <c r="E79" s="148">
        <f>IS!F57</f>
        <v>2.4</v>
      </c>
      <c r="F79" s="203" t="inlineStr">
        <is>
          <t>IS!F57</t>
        </is>
      </c>
      <c r="G79" s="204" t="inlineStr"/>
    </row>
    <row r="80">
      <c r="A80" s="201" t="inlineStr">
        <is>
          <t>FY25 Q1</t>
        </is>
      </c>
      <c r="B80" s="201" t="inlineStr">
        <is>
          <t>Actual</t>
        </is>
      </c>
      <c r="C80" s="202" t="inlineStr">
        <is>
          <t>Actual</t>
        </is>
      </c>
      <c r="D80" s="201" t="inlineStr">
        <is>
          <t>Cash</t>
        </is>
      </c>
      <c r="E80" s="146">
        <f>BS!F9</f>
        <v>30299</v>
      </c>
      <c r="F80" s="203" t="inlineStr">
        <is>
          <t>BS!F9</t>
        </is>
      </c>
      <c r="G80" s="204" t="inlineStr"/>
    </row>
    <row r="81">
      <c r="A81" s="201" t="inlineStr">
        <is>
          <t>FY25 Q1</t>
        </is>
      </c>
      <c r="B81" s="201" t="inlineStr">
        <is>
          <t>Actual</t>
        </is>
      </c>
      <c r="C81" s="202" t="inlineStr">
        <is>
          <t>Actual</t>
        </is>
      </c>
      <c r="D81" s="201" t="inlineStr">
        <is>
          <t>R&amp;D $</t>
        </is>
      </c>
      <c r="E81" s="146">
        <f>IS!F47</f>
        <v>8268</v>
      </c>
      <c r="F81" s="203" t="inlineStr">
        <is>
          <t>IS!F47</t>
        </is>
      </c>
      <c r="G81" s="204" t="inlineStr"/>
    </row>
    <row r="82">
      <c r="A82" s="201" t="inlineStr">
        <is>
          <t>FY25 Q1</t>
        </is>
      </c>
      <c r="B82" s="201" t="inlineStr">
        <is>
          <t>Actual</t>
        </is>
      </c>
      <c r="C82" s="202" t="inlineStr">
        <is>
          <t>Actual</t>
        </is>
      </c>
      <c r="D82" s="201" t="inlineStr">
        <is>
          <t>SG&amp;A $</t>
        </is>
      </c>
      <c r="E82" s="146">
        <f>IS!F48</f>
        <v>7175</v>
      </c>
      <c r="F82" s="203" t="inlineStr">
        <is>
          <t>IS!F48</t>
        </is>
      </c>
      <c r="G82" s="204" t="inlineStr"/>
    </row>
    <row r="83">
      <c r="A83" s="201" t="inlineStr">
        <is>
          <t>FY25 Q1</t>
        </is>
      </c>
      <c r="B83" s="201" t="inlineStr">
        <is>
          <t>Actual</t>
        </is>
      </c>
      <c r="C83" s="202" t="inlineStr">
        <is>
          <t>Actual</t>
        </is>
      </c>
      <c r="D83" s="201" t="inlineStr">
        <is>
          <t>Operating Margin %</t>
        </is>
      </c>
      <c r="E83" s="142">
        <f>IS!F50</f>
        <v>0.344585679806919</v>
      </c>
      <c r="F83" s="203" t="inlineStr">
        <is>
          <t>IS!F50</t>
        </is>
      </c>
      <c r="G83" s="204" t="inlineStr"/>
    </row>
    <row r="84">
      <c r="A84" s="201" t="inlineStr">
        <is>
          <t>FY25 Q1</t>
        </is>
      </c>
      <c r="B84" s="201" t="inlineStr">
        <is>
          <t>Actual</t>
        </is>
      </c>
      <c r="C84" s="202" t="inlineStr">
        <is>
          <t>Actual</t>
        </is>
      </c>
      <c r="D84" s="201" t="inlineStr">
        <is>
          <t>AR $</t>
        </is>
      </c>
      <c r="E84" s="146">
        <f>BS!F11</f>
        <v>29639</v>
      </c>
      <c r="F84" s="203" t="inlineStr">
        <is>
          <t>BS!F11</t>
        </is>
      </c>
      <c r="G84" s="204" t="inlineStr"/>
    </row>
    <row r="85">
      <c r="A85" s="201" t="inlineStr">
        <is>
          <t>FY25 Q1</t>
        </is>
      </c>
      <c r="B85" s="201" t="inlineStr">
        <is>
          <t>Actual</t>
        </is>
      </c>
      <c r="C85" s="202" t="inlineStr">
        <is>
          <t>Actual</t>
        </is>
      </c>
      <c r="D85" s="201" t="inlineStr">
        <is>
          <t>Inventory $</t>
        </is>
      </c>
      <c r="E85" s="146">
        <f>BS!F13</f>
        <v>6911</v>
      </c>
      <c r="F85" s="203" t="inlineStr">
        <is>
          <t>BS!F13</t>
        </is>
      </c>
      <c r="G85" s="204" t="inlineStr"/>
    </row>
    <row r="86">
      <c r="A86" s="201" t="inlineStr">
        <is>
          <t>FY25 Q1</t>
        </is>
      </c>
      <c r="B86" s="201" t="inlineStr">
        <is>
          <t>Actual</t>
        </is>
      </c>
      <c r="C86" s="202" t="inlineStr">
        <is>
          <t>Actual</t>
        </is>
      </c>
      <c r="D86" s="201" t="inlineStr">
        <is>
          <t>AP $</t>
        </is>
      </c>
      <c r="E86" s="146">
        <f>BS!F22</f>
        <v>61910</v>
      </c>
      <c r="F86" s="203" t="inlineStr">
        <is>
          <t>BS!F22</t>
        </is>
      </c>
      <c r="G86" s="204" t="inlineStr"/>
    </row>
    <row r="87">
      <c r="A87" s="201" t="inlineStr">
        <is>
          <t>FY25 Q1</t>
        </is>
      </c>
      <c r="B87" s="201" t="inlineStr">
        <is>
          <t>Actual</t>
        </is>
      </c>
      <c r="C87" s="202" t="inlineStr">
        <is>
          <t>Actual</t>
        </is>
      </c>
      <c r="D87" s="201" t="inlineStr">
        <is>
          <t>Buyback $</t>
        </is>
      </c>
      <c r="E87" s="146">
        <f>CF!F25</f>
        <v>-23606</v>
      </c>
      <c r="F87" s="203" t="inlineStr">
        <is>
          <t>CF!F25</t>
        </is>
      </c>
      <c r="G87" s="204" t="inlineStr"/>
    </row>
    <row r="88">
      <c r="A88" s="201" t="inlineStr">
        <is>
          <t>FY25 Q1</t>
        </is>
      </c>
      <c r="B88" s="201" t="inlineStr">
        <is>
          <t>Actual</t>
        </is>
      </c>
      <c r="C88" s="202" t="inlineStr">
        <is>
          <t>Actual</t>
        </is>
      </c>
      <c r="D88" s="201" t="inlineStr">
        <is>
          <t>Dividend $</t>
        </is>
      </c>
      <c r="E88" s="146">
        <f>CF!F26</f>
        <v>-3856</v>
      </c>
      <c r="F88" s="203" t="inlineStr">
        <is>
          <t>CF!F26</t>
        </is>
      </c>
      <c r="G88" s="204" t="inlineStr"/>
    </row>
    <row r="89">
      <c r="A89" s="201" t="inlineStr">
        <is>
          <t>FY25 Q2</t>
        </is>
      </c>
      <c r="B89" s="201" t="inlineStr">
        <is>
          <t>Actual</t>
        </is>
      </c>
      <c r="C89" s="202" t="inlineStr">
        <is>
          <t>Actual</t>
        </is>
      </c>
      <c r="D89" s="201" t="inlineStr">
        <is>
          <t>Revenue</t>
        </is>
      </c>
      <c r="E89" s="146">
        <f>IS!G41</f>
        <v>95359</v>
      </c>
      <c r="F89" s="203" t="inlineStr">
        <is>
          <t>IS!G41</t>
        </is>
      </c>
      <c r="G89" s="204" t="inlineStr"/>
    </row>
    <row r="90">
      <c r="A90" s="201" t="inlineStr">
        <is>
          <t>FY25 Q2</t>
        </is>
      </c>
      <c r="B90" s="201" t="inlineStr">
        <is>
          <t>Actual</t>
        </is>
      </c>
      <c r="C90" s="202" t="inlineStr">
        <is>
          <t>Actual</t>
        </is>
      </c>
      <c r="D90" s="201" t="inlineStr">
        <is>
          <t>Gross Margin $</t>
        </is>
      </c>
      <c r="E90" s="146">
        <f>IS!G44</f>
        <v>44867</v>
      </c>
      <c r="F90" s="203" t="inlineStr">
        <is>
          <t>IS!G44</t>
        </is>
      </c>
      <c r="G90" s="204" t="inlineStr"/>
    </row>
    <row r="91">
      <c r="A91" s="201" t="inlineStr">
        <is>
          <t>FY25 Q2</t>
        </is>
      </c>
      <c r="B91" s="201" t="inlineStr">
        <is>
          <t>Actual</t>
        </is>
      </c>
      <c r="C91" s="202" t="inlineStr">
        <is>
          <t>Actual</t>
        </is>
      </c>
      <c r="D91" s="201" t="inlineStr">
        <is>
          <t>Gross Margin %</t>
        </is>
      </c>
      <c r="E91" s="142">
        <f>IS!G45</f>
        <v>0.470506192388762</v>
      </c>
      <c r="F91" s="203" t="inlineStr">
        <is>
          <t>IS!G45</t>
        </is>
      </c>
      <c r="G91" s="204" t="inlineStr"/>
    </row>
    <row r="92">
      <c r="A92" s="201" t="inlineStr">
        <is>
          <t>FY25 Q2</t>
        </is>
      </c>
      <c r="B92" s="201" t="inlineStr">
        <is>
          <t>Actual</t>
        </is>
      </c>
      <c r="C92" s="202" t="inlineStr">
        <is>
          <t>Actual</t>
        </is>
      </c>
      <c r="D92" s="201" t="inlineStr">
        <is>
          <t>Operating Income</t>
        </is>
      </c>
      <c r="E92" s="146">
        <f>IS!G49</f>
        <v>29589</v>
      </c>
      <c r="F92" s="203" t="inlineStr">
        <is>
          <t>IS!G49</t>
        </is>
      </c>
      <c r="G92" s="204" t="inlineStr"/>
    </row>
    <row r="93">
      <c r="A93" s="201" t="inlineStr">
        <is>
          <t>FY25 Q2</t>
        </is>
      </c>
      <c r="B93" s="201" t="inlineStr">
        <is>
          <t>Actual</t>
        </is>
      </c>
      <c r="C93" s="202" t="inlineStr">
        <is>
          <t>Actual</t>
        </is>
      </c>
      <c r="D93" s="201" t="inlineStr">
        <is>
          <t>Net Income</t>
        </is>
      </c>
      <c r="E93" s="146">
        <f>IS!G53</f>
        <v>24780</v>
      </c>
      <c r="F93" s="203" t="inlineStr">
        <is>
          <t>IS!G53</t>
        </is>
      </c>
      <c r="G93" s="204" t="inlineStr"/>
    </row>
    <row r="94">
      <c r="A94" s="201" t="inlineStr">
        <is>
          <t>FY25 Q2</t>
        </is>
      </c>
      <c r="B94" s="201" t="inlineStr">
        <is>
          <t>Actual</t>
        </is>
      </c>
      <c r="C94" s="202" t="inlineStr">
        <is>
          <t>Actual</t>
        </is>
      </c>
      <c r="D94" s="201" t="inlineStr">
        <is>
          <t>EPS</t>
        </is>
      </c>
      <c r="E94" s="148">
        <f>IS!G57</f>
        <v>1.65</v>
      </c>
      <c r="F94" s="203" t="inlineStr">
        <is>
          <t>IS!G57</t>
        </is>
      </c>
      <c r="G94" s="204" t="inlineStr"/>
    </row>
    <row r="95">
      <c r="A95" s="201" t="inlineStr">
        <is>
          <t>FY25 Q2</t>
        </is>
      </c>
      <c r="B95" s="201" t="inlineStr">
        <is>
          <t>Actual</t>
        </is>
      </c>
      <c r="C95" s="202" t="inlineStr">
        <is>
          <t>Actual</t>
        </is>
      </c>
      <c r="D95" s="201" t="inlineStr">
        <is>
          <t>Cash</t>
        </is>
      </c>
      <c r="E95" s="146">
        <f>BS!G9</f>
        <v>28162</v>
      </c>
      <c r="F95" s="203" t="inlineStr">
        <is>
          <t>BS!G9</t>
        </is>
      </c>
      <c r="G95" s="204" t="inlineStr"/>
    </row>
    <row r="96">
      <c r="A96" s="201" t="inlineStr">
        <is>
          <t>FY25 Q2</t>
        </is>
      </c>
      <c r="B96" s="201" t="inlineStr">
        <is>
          <t>Actual</t>
        </is>
      </c>
      <c r="C96" s="202" t="inlineStr">
        <is>
          <t>Actual</t>
        </is>
      </c>
      <c r="D96" s="201" t="inlineStr">
        <is>
          <t>R&amp;D $</t>
        </is>
      </c>
      <c r="E96" s="146">
        <f>IS!G47</f>
        <v>8550</v>
      </c>
      <c r="F96" s="203" t="inlineStr">
        <is>
          <t>IS!G47</t>
        </is>
      </c>
      <c r="G96" s="204" t="inlineStr"/>
    </row>
    <row r="97">
      <c r="A97" s="201" t="inlineStr">
        <is>
          <t>FY25 Q2</t>
        </is>
      </c>
      <c r="B97" s="201" t="inlineStr">
        <is>
          <t>Actual</t>
        </is>
      </c>
      <c r="C97" s="202" t="inlineStr">
        <is>
          <t>Actual</t>
        </is>
      </c>
      <c r="D97" s="201" t="inlineStr">
        <is>
          <t>SG&amp;A $</t>
        </is>
      </c>
      <c r="E97" s="146">
        <f>IS!G48</f>
        <v>6728</v>
      </c>
      <c r="F97" s="203" t="inlineStr">
        <is>
          <t>IS!G48</t>
        </is>
      </c>
      <c r="G97" s="204" t="inlineStr"/>
    </row>
    <row r="98">
      <c r="A98" s="201" t="inlineStr">
        <is>
          <t>FY25 Q2</t>
        </is>
      </c>
      <c r="B98" s="201" t="inlineStr">
        <is>
          <t>Actual</t>
        </is>
      </c>
      <c r="C98" s="202" t="inlineStr">
        <is>
          <t>Actual</t>
        </is>
      </c>
      <c r="D98" s="201" t="inlineStr">
        <is>
          <t>Operating Margin %</t>
        </is>
      </c>
      <c r="E98" s="142">
        <f>IS!G50</f>
        <v>0.310290586100945</v>
      </c>
      <c r="F98" s="203" t="inlineStr">
        <is>
          <t>IS!G50</t>
        </is>
      </c>
      <c r="G98" s="204" t="inlineStr"/>
    </row>
    <row r="99">
      <c r="A99" s="201" t="inlineStr">
        <is>
          <t>FY25 Q2</t>
        </is>
      </c>
      <c r="B99" s="201" t="inlineStr">
        <is>
          <t>Actual</t>
        </is>
      </c>
      <c r="C99" s="202" t="inlineStr">
        <is>
          <t>Actual</t>
        </is>
      </c>
      <c r="D99" s="201" t="inlineStr">
        <is>
          <t>AR $</t>
        </is>
      </c>
      <c r="E99" s="146">
        <f>BS!G11</f>
        <v>26136</v>
      </c>
      <c r="F99" s="203" t="inlineStr">
        <is>
          <t>BS!G11</t>
        </is>
      </c>
      <c r="G99" s="204" t="inlineStr"/>
    </row>
    <row r="100">
      <c r="A100" s="201" t="inlineStr">
        <is>
          <t>FY25 Q2</t>
        </is>
      </c>
      <c r="B100" s="201" t="inlineStr">
        <is>
          <t>Actual</t>
        </is>
      </c>
      <c r="C100" s="202" t="inlineStr">
        <is>
          <t>Actual</t>
        </is>
      </c>
      <c r="D100" s="201" t="inlineStr">
        <is>
          <t>Inventory $</t>
        </is>
      </c>
      <c r="E100" s="146">
        <f>BS!G13</f>
        <v>6269</v>
      </c>
      <c r="F100" s="203" t="inlineStr">
        <is>
          <t>BS!G13</t>
        </is>
      </c>
      <c r="G100" s="204" t="inlineStr"/>
    </row>
    <row r="101">
      <c r="A101" s="201" t="inlineStr">
        <is>
          <t>FY25 Q2</t>
        </is>
      </c>
      <c r="B101" s="201" t="inlineStr">
        <is>
          <t>Actual</t>
        </is>
      </c>
      <c r="C101" s="202" t="inlineStr">
        <is>
          <t>Actual</t>
        </is>
      </c>
      <c r="D101" s="201" t="inlineStr">
        <is>
          <t>AP $</t>
        </is>
      </c>
      <c r="E101" s="146">
        <f>BS!G22</f>
        <v>54126</v>
      </c>
      <c r="F101" s="203" t="inlineStr">
        <is>
          <t>BS!G22</t>
        </is>
      </c>
      <c r="G101" s="204" t="inlineStr"/>
    </row>
    <row r="102">
      <c r="A102" s="201" t="inlineStr">
        <is>
          <t>FY25 Q2</t>
        </is>
      </c>
      <c r="B102" s="201" t="inlineStr">
        <is>
          <t>Actual</t>
        </is>
      </c>
      <c r="C102" s="202" t="inlineStr">
        <is>
          <t>Actual</t>
        </is>
      </c>
      <c r="D102" s="201" t="inlineStr">
        <is>
          <t>Buyback $</t>
        </is>
      </c>
      <c r="E102" s="146">
        <f>CF!G25</f>
        <v>-25898</v>
      </c>
      <c r="F102" s="203" t="inlineStr">
        <is>
          <t>CF!G25</t>
        </is>
      </c>
      <c r="G102" s="204" t="inlineStr"/>
    </row>
    <row r="103">
      <c r="A103" s="201" t="inlineStr">
        <is>
          <t>FY25 Q2</t>
        </is>
      </c>
      <c r="B103" s="201" t="inlineStr">
        <is>
          <t>Actual</t>
        </is>
      </c>
      <c r="C103" s="202" t="inlineStr">
        <is>
          <t>Actual</t>
        </is>
      </c>
      <c r="D103" s="201" t="inlineStr">
        <is>
          <t>Dividend $</t>
        </is>
      </c>
      <c r="E103" s="146">
        <f>CF!G26</f>
        <v>-3758</v>
      </c>
      <c r="F103" s="203" t="inlineStr">
        <is>
          <t>CF!G26</t>
        </is>
      </c>
      <c r="G103" s="204" t="inlineStr"/>
    </row>
    <row r="104">
      <c r="A104" s="201" t="inlineStr">
        <is>
          <t>FY25 Q3</t>
        </is>
      </c>
      <c r="B104" s="201" t="inlineStr">
        <is>
          <t>Actual</t>
        </is>
      </c>
      <c r="C104" s="202" t="inlineStr">
        <is>
          <t>Actual</t>
        </is>
      </c>
      <c r="D104" s="201" t="inlineStr">
        <is>
          <t>Revenue</t>
        </is>
      </c>
      <c r="E104" s="146">
        <f>IS!H41</f>
        <v>94036</v>
      </c>
      <c r="F104" s="203" t="inlineStr">
        <is>
          <t>IS!H41</t>
        </is>
      </c>
      <c r="G104" s="204" t="inlineStr"/>
    </row>
    <row r="105">
      <c r="A105" s="201" t="inlineStr">
        <is>
          <t>FY25 Q3</t>
        </is>
      </c>
      <c r="B105" s="201" t="inlineStr">
        <is>
          <t>Actual</t>
        </is>
      </c>
      <c r="C105" s="202" t="inlineStr">
        <is>
          <t>Actual</t>
        </is>
      </c>
      <c r="D105" s="201" t="inlineStr">
        <is>
          <t>Gross Margin $</t>
        </is>
      </c>
      <c r="E105" s="146">
        <f>IS!H44</f>
        <v>43718</v>
      </c>
      <c r="F105" s="203" t="inlineStr">
        <is>
          <t>IS!H44</t>
        </is>
      </c>
      <c r="G105" s="204" t="inlineStr"/>
    </row>
    <row r="106">
      <c r="A106" s="201" t="inlineStr">
        <is>
          <t>FY25 Q3</t>
        </is>
      </c>
      <c r="B106" s="201" t="inlineStr">
        <is>
          <t>Actual</t>
        </is>
      </c>
      <c r="C106" s="202" t="inlineStr">
        <is>
          <t>Actual</t>
        </is>
      </c>
      <c r="D106" s="201" t="inlineStr">
        <is>
          <t>Gross Margin %</t>
        </is>
      </c>
      <c r="E106" s="142">
        <f>IS!H45</f>
        <v>0.464907056871836</v>
      </c>
      <c r="F106" s="203" t="inlineStr">
        <is>
          <t>IS!H45</t>
        </is>
      </c>
      <c r="G106" s="204" t="inlineStr"/>
    </row>
    <row r="107">
      <c r="A107" s="201" t="inlineStr">
        <is>
          <t>FY25 Q3</t>
        </is>
      </c>
      <c r="B107" s="201" t="inlineStr">
        <is>
          <t>Actual</t>
        </is>
      </c>
      <c r="C107" s="202" t="inlineStr">
        <is>
          <t>Actual</t>
        </is>
      </c>
      <c r="D107" s="201" t="inlineStr">
        <is>
          <t>Operating Income</t>
        </is>
      </c>
      <c r="E107" s="146">
        <f>IS!H49</f>
        <v>28202</v>
      </c>
      <c r="F107" s="203" t="inlineStr">
        <is>
          <t>IS!H49</t>
        </is>
      </c>
      <c r="G107" s="204" t="inlineStr"/>
    </row>
    <row r="108">
      <c r="A108" s="201" t="inlineStr">
        <is>
          <t>FY25 Q3</t>
        </is>
      </c>
      <c r="B108" s="201" t="inlineStr">
        <is>
          <t>Actual</t>
        </is>
      </c>
      <c r="C108" s="202" t="inlineStr">
        <is>
          <t>Actual</t>
        </is>
      </c>
      <c r="D108" s="201" t="inlineStr">
        <is>
          <t>Net Income</t>
        </is>
      </c>
      <c r="E108" s="146">
        <f>IS!H53</f>
        <v>23434</v>
      </c>
      <c r="F108" s="203" t="inlineStr">
        <is>
          <t>IS!H53</t>
        </is>
      </c>
      <c r="G108" s="204" t="inlineStr"/>
    </row>
    <row r="109">
      <c r="A109" s="201" t="inlineStr">
        <is>
          <t>FY25 Q3</t>
        </is>
      </c>
      <c r="B109" s="201" t="inlineStr">
        <is>
          <t>Actual</t>
        </is>
      </c>
      <c r="C109" s="202" t="inlineStr">
        <is>
          <t>Actual</t>
        </is>
      </c>
      <c r="D109" s="201" t="inlineStr">
        <is>
          <t>EPS</t>
        </is>
      </c>
      <c r="E109" s="148">
        <f>IS!H57</f>
        <v>1.57</v>
      </c>
      <c r="F109" s="203" t="inlineStr">
        <is>
          <t>IS!H57</t>
        </is>
      </c>
      <c r="G109" s="204" t="inlineStr"/>
    </row>
    <row r="110">
      <c r="A110" s="201" t="inlineStr">
        <is>
          <t>FY25 Q3</t>
        </is>
      </c>
      <c r="B110" s="201" t="inlineStr">
        <is>
          <t>Actual</t>
        </is>
      </c>
      <c r="C110" s="202" t="inlineStr">
        <is>
          <t>Actual</t>
        </is>
      </c>
      <c r="D110" s="201" t="inlineStr">
        <is>
          <t>Cash</t>
        </is>
      </c>
      <c r="E110" s="146">
        <f>BS!H9</f>
        <v>36269</v>
      </c>
      <c r="F110" s="203" t="inlineStr">
        <is>
          <t>BS!H9</t>
        </is>
      </c>
      <c r="G110" s="204" t="inlineStr"/>
    </row>
    <row r="111">
      <c r="A111" s="201" t="inlineStr">
        <is>
          <t>FY25 Q3</t>
        </is>
      </c>
      <c r="B111" s="201" t="inlineStr">
        <is>
          <t>Actual</t>
        </is>
      </c>
      <c r="C111" s="202" t="inlineStr">
        <is>
          <t>Actual</t>
        </is>
      </c>
      <c r="D111" s="201" t="inlineStr">
        <is>
          <t>R&amp;D $</t>
        </is>
      </c>
      <c r="E111" s="146">
        <f>IS!H47</f>
        <v>8866</v>
      </c>
      <c r="F111" s="203" t="inlineStr">
        <is>
          <t>IS!H47</t>
        </is>
      </c>
      <c r="G111" s="204" t="inlineStr"/>
    </row>
    <row r="112">
      <c r="A112" s="201" t="inlineStr">
        <is>
          <t>FY25 Q3</t>
        </is>
      </c>
      <c r="B112" s="201" t="inlineStr">
        <is>
          <t>Actual</t>
        </is>
      </c>
      <c r="C112" s="202" t="inlineStr">
        <is>
          <t>Actual</t>
        </is>
      </c>
      <c r="D112" s="201" t="inlineStr">
        <is>
          <t>SG&amp;A $</t>
        </is>
      </c>
      <c r="E112" s="146">
        <f>IS!H48</f>
        <v>6650</v>
      </c>
      <c r="F112" s="203" t="inlineStr">
        <is>
          <t>IS!H48</t>
        </is>
      </c>
      <c r="G112" s="204" t="inlineStr"/>
    </row>
    <row r="113">
      <c r="A113" s="201" t="inlineStr">
        <is>
          <t>FY25 Q3</t>
        </is>
      </c>
      <c r="B113" s="201" t="inlineStr">
        <is>
          <t>Actual</t>
        </is>
      </c>
      <c r="C113" s="202" t="inlineStr">
        <is>
          <t>Actual</t>
        </is>
      </c>
      <c r="D113" s="201" t="inlineStr">
        <is>
          <t>Operating Margin %</t>
        </is>
      </c>
      <c r="E113" s="142">
        <f>IS!H50</f>
        <v>0.299906418818325</v>
      </c>
      <c r="F113" s="203" t="inlineStr">
        <is>
          <t>IS!H50</t>
        </is>
      </c>
      <c r="G113" s="204" t="inlineStr"/>
    </row>
    <row r="114">
      <c r="A114" s="201" t="inlineStr">
        <is>
          <t>FY25 Q3</t>
        </is>
      </c>
      <c r="B114" s="201" t="inlineStr">
        <is>
          <t>Actual</t>
        </is>
      </c>
      <c r="C114" s="202" t="inlineStr">
        <is>
          <t>Actual</t>
        </is>
      </c>
      <c r="D114" s="201" t="inlineStr">
        <is>
          <t>AR $</t>
        </is>
      </c>
      <c r="E114" s="146">
        <f>BS!H11</f>
        <v>27557</v>
      </c>
      <c r="F114" s="203" t="inlineStr">
        <is>
          <t>BS!H11</t>
        </is>
      </c>
      <c r="G114" s="204" t="inlineStr"/>
    </row>
    <row r="115">
      <c r="A115" s="201" t="inlineStr">
        <is>
          <t>FY25 Q3</t>
        </is>
      </c>
      <c r="B115" s="201" t="inlineStr">
        <is>
          <t>Actual</t>
        </is>
      </c>
      <c r="C115" s="202" t="inlineStr">
        <is>
          <t>Actual</t>
        </is>
      </c>
      <c r="D115" s="201" t="inlineStr">
        <is>
          <t>Inventory $</t>
        </is>
      </c>
      <c r="E115" s="146">
        <f>BS!H13</f>
        <v>5925</v>
      </c>
      <c r="F115" s="203" t="inlineStr">
        <is>
          <t>BS!H13</t>
        </is>
      </c>
      <c r="G115" s="204" t="inlineStr"/>
    </row>
    <row r="116">
      <c r="A116" s="201" t="inlineStr">
        <is>
          <t>FY25 Q3</t>
        </is>
      </c>
      <c r="B116" s="201" t="inlineStr">
        <is>
          <t>Actual</t>
        </is>
      </c>
      <c r="C116" s="202" t="inlineStr">
        <is>
          <t>Actual</t>
        </is>
      </c>
      <c r="D116" s="201" t="inlineStr">
        <is>
          <t>AP $</t>
        </is>
      </c>
      <c r="E116" s="146">
        <f>BS!H22</f>
        <v>50374</v>
      </c>
      <c r="F116" s="203" t="inlineStr">
        <is>
          <t>BS!H22</t>
        </is>
      </c>
      <c r="G116" s="204" t="inlineStr"/>
    </row>
    <row r="117">
      <c r="A117" s="201" t="inlineStr">
        <is>
          <t>FY25 Q3</t>
        </is>
      </c>
      <c r="B117" s="201" t="inlineStr">
        <is>
          <t>Actual</t>
        </is>
      </c>
      <c r="C117" s="202" t="inlineStr">
        <is>
          <t>Actual</t>
        </is>
      </c>
      <c r="D117" s="201" t="inlineStr">
        <is>
          <t>Buyback $</t>
        </is>
      </c>
      <c r="E117" s="146">
        <f>CF!H25</f>
        <v>-21075</v>
      </c>
      <c r="F117" s="203" t="inlineStr">
        <is>
          <t>CF!H25</t>
        </is>
      </c>
      <c r="G117" s="204" t="inlineStr"/>
    </row>
    <row r="118">
      <c r="A118" s="201" t="inlineStr">
        <is>
          <t>FY25 Q3</t>
        </is>
      </c>
      <c r="B118" s="201" t="inlineStr">
        <is>
          <t>Actual</t>
        </is>
      </c>
      <c r="C118" s="202" t="inlineStr">
        <is>
          <t>Actual</t>
        </is>
      </c>
      <c r="D118" s="201" t="inlineStr">
        <is>
          <t>Dividend $</t>
        </is>
      </c>
      <c r="E118" s="146">
        <f>CF!H26</f>
        <v>-3945</v>
      </c>
      <c r="F118" s="203" t="inlineStr">
        <is>
          <t>CF!H26</t>
        </is>
      </c>
      <c r="G118" s="204" t="inlineStr"/>
    </row>
    <row r="119">
      <c r="A119" s="201" t="inlineStr">
        <is>
          <t>FY25 Q4</t>
        </is>
      </c>
      <c r="B119" s="201" t="inlineStr">
        <is>
          <t>Actual</t>
        </is>
      </c>
      <c r="C119" s="202" t="inlineStr">
        <is>
          <t>Actual</t>
        </is>
      </c>
      <c r="D119" s="201" t="inlineStr">
        <is>
          <t>Revenue</t>
        </is>
      </c>
      <c r="E119" s="146">
        <f>IS!I41</f>
        <v>102466</v>
      </c>
      <c r="F119" s="203" t="inlineStr">
        <is>
          <t>IS!I41</t>
        </is>
      </c>
      <c r="G119" s="204" t="inlineStr"/>
    </row>
    <row r="120">
      <c r="A120" s="201" t="inlineStr">
        <is>
          <t>FY25 Q4</t>
        </is>
      </c>
      <c r="B120" s="201" t="inlineStr">
        <is>
          <t>Actual</t>
        </is>
      </c>
      <c r="C120" s="202" t="inlineStr">
        <is>
          <t>Actual</t>
        </is>
      </c>
      <c r="D120" s="201" t="inlineStr">
        <is>
          <t>Gross Margin $</t>
        </is>
      </c>
      <c r="E120" s="146">
        <f>IS!I44</f>
        <v>48341</v>
      </c>
      <c r="F120" s="203" t="inlineStr">
        <is>
          <t>IS!I44</t>
        </is>
      </c>
      <c r="G120" s="204" t="inlineStr"/>
    </row>
    <row r="121">
      <c r="A121" s="201" t="inlineStr">
        <is>
          <t>FY25 Q4</t>
        </is>
      </c>
      <c r="B121" s="201" t="inlineStr">
        <is>
          <t>Actual</t>
        </is>
      </c>
      <c r="C121" s="202" t="inlineStr">
        <is>
          <t>Actual</t>
        </is>
      </c>
      <c r="D121" s="201" t="inlineStr">
        <is>
          <t>Gross Margin %</t>
        </is>
      </c>
      <c r="E121" s="142">
        <f>IS!I45</f>
        <v>0.471776003747585</v>
      </c>
      <c r="F121" s="203" t="inlineStr">
        <is>
          <t>IS!I45</t>
        </is>
      </c>
      <c r="G121" s="204" t="inlineStr"/>
    </row>
    <row r="122">
      <c r="A122" s="201" t="inlineStr">
        <is>
          <t>FY25 Q4</t>
        </is>
      </c>
      <c r="B122" s="201" t="inlineStr">
        <is>
          <t>Actual</t>
        </is>
      </c>
      <c r="C122" s="202" t="inlineStr">
        <is>
          <t>Actual</t>
        </is>
      </c>
      <c r="D122" s="201" t="inlineStr">
        <is>
          <t>Operating Income</t>
        </is>
      </c>
      <c r="E122" s="146">
        <f>IS!I49</f>
        <v>32427</v>
      </c>
      <c r="F122" s="203" t="inlineStr">
        <is>
          <t>IS!I49</t>
        </is>
      </c>
      <c r="G122" s="204" t="inlineStr"/>
    </row>
    <row r="123">
      <c r="A123" s="201" t="inlineStr">
        <is>
          <t>FY25 Q4</t>
        </is>
      </c>
      <c r="B123" s="201" t="inlineStr">
        <is>
          <t>Actual</t>
        </is>
      </c>
      <c r="C123" s="202" t="inlineStr">
        <is>
          <t>Actual</t>
        </is>
      </c>
      <c r="D123" s="201" t="inlineStr">
        <is>
          <t>Net Income</t>
        </is>
      </c>
      <c r="E123" s="146">
        <f>IS!I53</f>
        <v>27466</v>
      </c>
      <c r="F123" s="203" t="inlineStr">
        <is>
          <t>IS!I53</t>
        </is>
      </c>
      <c r="G123" s="204" t="inlineStr"/>
    </row>
    <row r="124">
      <c r="A124" s="201" t="inlineStr">
        <is>
          <t>FY25 Q4</t>
        </is>
      </c>
      <c r="B124" s="201" t="inlineStr">
        <is>
          <t>Actual</t>
        </is>
      </c>
      <c r="C124" s="202" t="inlineStr">
        <is>
          <t>Actual</t>
        </is>
      </c>
      <c r="D124" s="201" t="inlineStr">
        <is>
          <t>EPS</t>
        </is>
      </c>
      <c r="E124" s="148">
        <f>IS!I57</f>
        <v>1.84</v>
      </c>
      <c r="F124" s="203" t="inlineStr">
        <is>
          <t>IS!I57</t>
        </is>
      </c>
      <c r="G124" s="204" t="inlineStr"/>
    </row>
    <row r="125">
      <c r="A125" s="201" t="inlineStr">
        <is>
          <t>FY25 Q4</t>
        </is>
      </c>
      <c r="B125" s="201" t="inlineStr">
        <is>
          <t>Actual</t>
        </is>
      </c>
      <c r="C125" s="202" t="inlineStr">
        <is>
          <t>Actual</t>
        </is>
      </c>
      <c r="D125" s="201" t="inlineStr">
        <is>
          <t>Cash</t>
        </is>
      </c>
      <c r="E125" s="146">
        <f>BS!I9</f>
        <v>35934</v>
      </c>
      <c r="F125" s="203" t="inlineStr">
        <is>
          <t>BS!I9</t>
        </is>
      </c>
      <c r="G125" s="204" t="inlineStr"/>
    </row>
    <row r="126">
      <c r="A126" s="201" t="inlineStr">
        <is>
          <t>FY25 Q4</t>
        </is>
      </c>
      <c r="B126" s="201" t="inlineStr">
        <is>
          <t>Actual</t>
        </is>
      </c>
      <c r="C126" s="202" t="inlineStr">
        <is>
          <t>Actual</t>
        </is>
      </c>
      <c r="D126" s="201" t="inlineStr">
        <is>
          <t>R&amp;D $</t>
        </is>
      </c>
      <c r="E126" s="146">
        <f>IS!I47</f>
        <v>8866</v>
      </c>
      <c r="F126" s="203" t="inlineStr">
        <is>
          <t>IS!I47</t>
        </is>
      </c>
      <c r="G126" s="204" t="inlineStr"/>
    </row>
    <row r="127">
      <c r="A127" s="201" t="inlineStr">
        <is>
          <t>FY25 Q4</t>
        </is>
      </c>
      <c r="B127" s="201" t="inlineStr">
        <is>
          <t>Actual</t>
        </is>
      </c>
      <c r="C127" s="202" t="inlineStr">
        <is>
          <t>Actual</t>
        </is>
      </c>
      <c r="D127" s="201" t="inlineStr">
        <is>
          <t>SG&amp;A $</t>
        </is>
      </c>
      <c r="E127" s="146">
        <f>IS!I48</f>
        <v>7048</v>
      </c>
      <c r="F127" s="203" t="inlineStr">
        <is>
          <t>IS!I48</t>
        </is>
      </c>
      <c r="G127" s="204" t="inlineStr"/>
    </row>
    <row r="128">
      <c r="A128" s="201" t="inlineStr">
        <is>
          <t>FY25 Q4</t>
        </is>
      </c>
      <c r="B128" s="201" t="inlineStr">
        <is>
          <t>Actual</t>
        </is>
      </c>
      <c r="C128" s="202" t="inlineStr">
        <is>
          <t>Actual</t>
        </is>
      </c>
      <c r="D128" s="201" t="inlineStr">
        <is>
          <t>Operating Margin %</t>
        </is>
      </c>
      <c r="E128" s="142">
        <f>IS!I50</f>
        <v>0.31646594968087</v>
      </c>
      <c r="F128" s="203" t="inlineStr">
        <is>
          <t>IS!I50</t>
        </is>
      </c>
      <c r="G128" s="204" t="inlineStr"/>
    </row>
    <row r="129">
      <c r="A129" s="201" t="inlineStr">
        <is>
          <t>FY25 Q4</t>
        </is>
      </c>
      <c r="B129" s="201" t="inlineStr">
        <is>
          <t>Actual</t>
        </is>
      </c>
      <c r="C129" s="202" t="inlineStr">
        <is>
          <t>Actual</t>
        </is>
      </c>
      <c r="D129" s="201" t="inlineStr">
        <is>
          <t>AR $</t>
        </is>
      </c>
      <c r="E129" s="146">
        <f>BS!I11</f>
        <v>39777</v>
      </c>
      <c r="F129" s="203" t="inlineStr">
        <is>
          <t>BS!I11</t>
        </is>
      </c>
      <c r="G129" s="204" t="inlineStr"/>
    </row>
    <row r="130">
      <c r="A130" s="201" t="inlineStr">
        <is>
          <t>FY25 Q4</t>
        </is>
      </c>
      <c r="B130" s="201" t="inlineStr">
        <is>
          <t>Actual</t>
        </is>
      </c>
      <c r="C130" s="202" t="inlineStr">
        <is>
          <t>Actual</t>
        </is>
      </c>
      <c r="D130" s="201" t="inlineStr">
        <is>
          <t>Inventory $</t>
        </is>
      </c>
      <c r="E130" s="146">
        <f>BS!I13</f>
        <v>5718</v>
      </c>
      <c r="F130" s="203" t="inlineStr">
        <is>
          <t>BS!I13</t>
        </is>
      </c>
      <c r="G130" s="204" t="inlineStr"/>
    </row>
    <row r="131">
      <c r="A131" s="201" t="inlineStr">
        <is>
          <t>FY25 Q4</t>
        </is>
      </c>
      <c r="B131" s="201" t="inlineStr">
        <is>
          <t>Actual</t>
        </is>
      </c>
      <c r="C131" s="202" t="inlineStr">
        <is>
          <t>Actual</t>
        </is>
      </c>
      <c r="D131" s="201" t="inlineStr">
        <is>
          <t>AP $</t>
        </is>
      </c>
      <c r="E131" s="146">
        <f>BS!I22</f>
        <v>69860</v>
      </c>
      <c r="F131" s="203" t="inlineStr">
        <is>
          <t>BS!I22</t>
        </is>
      </c>
      <c r="G131" s="204" t="inlineStr"/>
    </row>
    <row r="132">
      <c r="A132" s="201" t="inlineStr">
        <is>
          <t>FY25 Q4</t>
        </is>
      </c>
      <c r="B132" s="201" t="inlineStr">
        <is>
          <t>Actual</t>
        </is>
      </c>
      <c r="C132" s="202" t="inlineStr">
        <is>
          <t>Actual</t>
        </is>
      </c>
      <c r="D132" s="201" t="inlineStr">
        <is>
          <t>Buyback $</t>
        </is>
      </c>
      <c r="E132" s="146">
        <f>CF!I25</f>
        <v>-20132</v>
      </c>
      <c r="F132" s="203" t="inlineStr">
        <is>
          <t>CF!I25</t>
        </is>
      </c>
      <c r="G132" s="204" t="inlineStr"/>
    </row>
    <row r="133">
      <c r="A133" s="201" t="inlineStr">
        <is>
          <t>FY25 Q4</t>
        </is>
      </c>
      <c r="B133" s="201" t="inlineStr">
        <is>
          <t>Actual</t>
        </is>
      </c>
      <c r="C133" s="202" t="inlineStr">
        <is>
          <t>Actual</t>
        </is>
      </c>
      <c r="D133" s="201" t="inlineStr">
        <is>
          <t>Dividend $</t>
        </is>
      </c>
      <c r="E133" s="146">
        <f>CF!I26</f>
        <v>-3862</v>
      </c>
      <c r="F133" s="203" t="inlineStr">
        <is>
          <t>CF!I26</t>
        </is>
      </c>
      <c r="G133" s="204" t="inlineStr"/>
    </row>
    <row r="134">
      <c r="A134" s="201" t="inlineStr">
        <is>
          <t>FY25 Q4</t>
        </is>
      </c>
      <c r="B134" s="201" t="inlineStr">
        <is>
          <t>Actual</t>
        </is>
      </c>
      <c r="C134" s="202" t="inlineStr">
        <is>
          <t>Actual</t>
        </is>
      </c>
      <c r="D134" s="201" t="inlineStr">
        <is>
          <t>Total Assets $</t>
        </is>
      </c>
      <c r="E134" s="146">
        <f>BS!I20</f>
        <v>359241</v>
      </c>
      <c r="F134" s="203" t="inlineStr">
        <is>
          <t>BS!I20</t>
        </is>
      </c>
      <c r="G134" s="204" t="inlineStr"/>
    </row>
    <row r="135">
      <c r="A135" s="201" t="inlineStr">
        <is>
          <t>FY25 Q4</t>
        </is>
      </c>
      <c r="B135" s="201" t="inlineStr">
        <is>
          <t>Actual</t>
        </is>
      </c>
      <c r="C135" s="202" t="inlineStr">
        <is>
          <t>Actual</t>
        </is>
      </c>
      <c r="D135" s="201" t="inlineStr">
        <is>
          <t>Total Liabilities $</t>
        </is>
      </c>
      <c r="E135" s="146">
        <f>BS!I31</f>
        <v>285508</v>
      </c>
      <c r="F135" s="203" t="inlineStr">
        <is>
          <t>BS!I31</t>
        </is>
      </c>
      <c r="G135" s="204" t="inlineStr"/>
    </row>
    <row r="136">
      <c r="A136" s="201" t="inlineStr">
        <is>
          <t>FY25 Q4</t>
        </is>
      </c>
      <c r="B136" s="201" t="inlineStr">
        <is>
          <t>Actual</t>
        </is>
      </c>
      <c r="C136" s="202" t="inlineStr">
        <is>
          <t>Actual</t>
        </is>
      </c>
      <c r="D136" s="201" t="inlineStr">
        <is>
          <t>Total Equity $</t>
        </is>
      </c>
      <c r="E136" s="146">
        <f>BS!I36</f>
        <v>73733</v>
      </c>
      <c r="F136" s="203" t="inlineStr">
        <is>
          <t>BS!I36</t>
        </is>
      </c>
      <c r="G136" s="204" t="inlineStr"/>
    </row>
    <row r="137">
      <c r="A137" s="201" t="inlineStr">
        <is>
          <t>FY26 Q1</t>
        </is>
      </c>
      <c r="B137" s="201" t="inlineStr">
        <is>
          <t>Actual</t>
        </is>
      </c>
      <c r="C137" s="202" t="inlineStr">
        <is>
          <t>Actual</t>
        </is>
      </c>
      <c r="D137" s="201" t="inlineStr">
        <is>
          <t>Revenue</t>
        </is>
      </c>
      <c r="E137" s="146">
        <f>IS!J41</f>
        <v>143756</v>
      </c>
      <c r="F137" s="203" t="inlineStr">
        <is>
          <t>IS!J41</t>
        </is>
      </c>
      <c r="G137" s="204" t="inlineStr"/>
    </row>
    <row r="138">
      <c r="A138" s="201" t="inlineStr">
        <is>
          <t>FY26 Q1</t>
        </is>
      </c>
      <c r="B138" s="201" t="inlineStr">
        <is>
          <t>Actual</t>
        </is>
      </c>
      <c r="C138" s="202" t="inlineStr">
        <is>
          <t>Actual</t>
        </is>
      </c>
      <c r="D138" s="201" t="inlineStr">
        <is>
          <t>Gross Margin $</t>
        </is>
      </c>
      <c r="E138" s="146">
        <f>IS!J44</f>
        <v>69231</v>
      </c>
      <c r="F138" s="203" t="inlineStr">
        <is>
          <t>IS!J44</t>
        </is>
      </c>
      <c r="G138" s="204" t="inlineStr"/>
    </row>
    <row r="139">
      <c r="A139" s="201" t="inlineStr">
        <is>
          <t>FY26 Q1</t>
        </is>
      </c>
      <c r="B139" s="201" t="inlineStr">
        <is>
          <t>Actual</t>
        </is>
      </c>
      <c r="C139" s="202" t="inlineStr">
        <is>
          <t>Actual</t>
        </is>
      </c>
      <c r="D139" s="201" t="inlineStr">
        <is>
          <t>Gross Margin %</t>
        </is>
      </c>
      <c r="E139" s="142">
        <f>IS!J45</f>
        <v>0.481586855505162</v>
      </c>
      <c r="F139" s="203" t="inlineStr">
        <is>
          <t>IS!J45</t>
        </is>
      </c>
      <c r="G139" s="204" t="inlineStr"/>
    </row>
    <row r="140">
      <c r="A140" s="201" t="inlineStr">
        <is>
          <t>FY26 Q1</t>
        </is>
      </c>
      <c r="B140" s="201" t="inlineStr">
        <is>
          <t>Actual</t>
        </is>
      </c>
      <c r="C140" s="202" t="inlineStr">
        <is>
          <t>Actual</t>
        </is>
      </c>
      <c r="D140" s="201" t="inlineStr">
        <is>
          <t>Operating Income</t>
        </is>
      </c>
      <c r="E140" s="146">
        <f>IS!J49</f>
        <v>50852</v>
      </c>
      <c r="F140" s="203" t="inlineStr">
        <is>
          <t>IS!J49</t>
        </is>
      </c>
      <c r="G140" s="204" t="inlineStr"/>
    </row>
    <row r="141">
      <c r="A141" s="201" t="inlineStr">
        <is>
          <t>FY26 Q1</t>
        </is>
      </c>
      <c r="B141" s="201" t="inlineStr">
        <is>
          <t>Actual</t>
        </is>
      </c>
      <c r="C141" s="202" t="inlineStr">
        <is>
          <t>Actual</t>
        </is>
      </c>
      <c r="D141" s="201" t="inlineStr">
        <is>
          <t>Net Income</t>
        </is>
      </c>
      <c r="E141" s="146">
        <f>IS!J53</f>
        <v>42097</v>
      </c>
      <c r="F141" s="203" t="inlineStr">
        <is>
          <t>IS!J53</t>
        </is>
      </c>
      <c r="G141" s="204" t="inlineStr"/>
    </row>
    <row r="142">
      <c r="A142" s="201" t="inlineStr">
        <is>
          <t>FY26 Q1</t>
        </is>
      </c>
      <c r="B142" s="201" t="inlineStr">
        <is>
          <t>Actual</t>
        </is>
      </c>
      <c r="C142" s="202" t="inlineStr">
        <is>
          <t>Actual</t>
        </is>
      </c>
      <c r="D142" s="201" t="inlineStr">
        <is>
          <t>EPS</t>
        </is>
      </c>
      <c r="E142" s="148">
        <f>IS!J57</f>
        <v>2.84</v>
      </c>
      <c r="F142" s="203" t="inlineStr">
        <is>
          <t>IS!J57</t>
        </is>
      </c>
      <c r="G142" s="204" t="inlineStr"/>
    </row>
    <row r="143">
      <c r="A143" s="201" t="inlineStr">
        <is>
          <t>FY26 Q1</t>
        </is>
      </c>
      <c r="B143" s="201" t="inlineStr">
        <is>
          <t>Actual</t>
        </is>
      </c>
      <c r="C143" s="202" t="inlineStr">
        <is>
          <t>Actual</t>
        </is>
      </c>
      <c r="D143" s="201" t="inlineStr">
        <is>
          <t>Cash</t>
        </is>
      </c>
      <c r="E143" s="146">
        <f>BS!J9</f>
        <v>45317</v>
      </c>
      <c r="F143" s="203" t="inlineStr">
        <is>
          <t>BS!J9</t>
        </is>
      </c>
      <c r="G143" s="204" t="inlineStr"/>
    </row>
    <row r="144">
      <c r="A144" s="201" t="inlineStr">
        <is>
          <t>FY26 Q1</t>
        </is>
      </c>
      <c r="B144" s="201" t="inlineStr">
        <is>
          <t>Actual</t>
        </is>
      </c>
      <c r="C144" s="202" t="inlineStr">
        <is>
          <t>Actual</t>
        </is>
      </c>
      <c r="D144" s="201" t="inlineStr">
        <is>
          <t>R&amp;D $</t>
        </is>
      </c>
      <c r="E144" s="146">
        <f>IS!J47</f>
        <v>10887</v>
      </c>
      <c r="F144" s="203" t="inlineStr">
        <is>
          <t>IS!J47</t>
        </is>
      </c>
      <c r="G144" s="204" t="inlineStr"/>
    </row>
    <row r="145">
      <c r="A145" s="201" t="inlineStr">
        <is>
          <t>FY26 Q1</t>
        </is>
      </c>
      <c r="B145" s="201" t="inlineStr">
        <is>
          <t>Actual</t>
        </is>
      </c>
      <c r="C145" s="202" t="inlineStr">
        <is>
          <t>Actual</t>
        </is>
      </c>
      <c r="D145" s="201" t="inlineStr">
        <is>
          <t>SG&amp;A $</t>
        </is>
      </c>
      <c r="E145" s="146">
        <f>IS!J48</f>
        <v>7492</v>
      </c>
      <c r="F145" s="203" t="inlineStr">
        <is>
          <t>IS!J48</t>
        </is>
      </c>
      <c r="G145" s="204" t="inlineStr"/>
    </row>
    <row r="146">
      <c r="A146" s="201" t="inlineStr">
        <is>
          <t>FY26 Q1</t>
        </is>
      </c>
      <c r="B146" s="201" t="inlineStr">
        <is>
          <t>Actual</t>
        </is>
      </c>
      <c r="C146" s="202" t="inlineStr">
        <is>
          <t>Actual</t>
        </is>
      </c>
      <c r="D146" s="201" t="inlineStr">
        <is>
          <t>Operating Margin %</t>
        </is>
      </c>
      <c r="E146" s="142">
        <f>IS!J50</f>
        <v>0.353738278750104</v>
      </c>
      <c r="F146" s="203" t="inlineStr">
        <is>
          <t>IS!J50</t>
        </is>
      </c>
      <c r="G146" s="204" t="inlineStr"/>
    </row>
    <row r="147">
      <c r="A147" s="201" t="inlineStr">
        <is>
          <t>FY26 Q1</t>
        </is>
      </c>
      <c r="B147" s="201" t="inlineStr">
        <is>
          <t>Actual</t>
        </is>
      </c>
      <c r="C147" s="202" t="inlineStr">
        <is>
          <t>Actual</t>
        </is>
      </c>
      <c r="D147" s="201" t="inlineStr">
        <is>
          <t>AR $</t>
        </is>
      </c>
      <c r="E147" s="146">
        <f>BS!J11</f>
        <v>39921</v>
      </c>
      <c r="F147" s="203" t="inlineStr">
        <is>
          <t>BS!J11</t>
        </is>
      </c>
      <c r="G147" s="204" t="inlineStr"/>
    </row>
    <row r="148">
      <c r="A148" s="201" t="inlineStr">
        <is>
          <t>FY26 Q1</t>
        </is>
      </c>
      <c r="B148" s="201" t="inlineStr">
        <is>
          <t>Actual</t>
        </is>
      </c>
      <c r="C148" s="202" t="inlineStr">
        <is>
          <t>Actual</t>
        </is>
      </c>
      <c r="D148" s="201" t="inlineStr">
        <is>
          <t>Inventory $</t>
        </is>
      </c>
      <c r="E148" s="146">
        <f>BS!J13</f>
        <v>5875</v>
      </c>
      <c r="F148" s="203" t="inlineStr">
        <is>
          <t>BS!J13</t>
        </is>
      </c>
      <c r="G148" s="204" t="inlineStr"/>
    </row>
    <row r="149">
      <c r="A149" s="201" t="inlineStr">
        <is>
          <t>FY26 Q1</t>
        </is>
      </c>
      <c r="B149" s="201" t="inlineStr">
        <is>
          <t>Actual</t>
        </is>
      </c>
      <c r="C149" s="202" t="inlineStr">
        <is>
          <t>Actual</t>
        </is>
      </c>
      <c r="D149" s="201" t="inlineStr">
        <is>
          <t>AP $</t>
        </is>
      </c>
      <c r="E149" s="146">
        <f>BS!J22</f>
        <v>70587</v>
      </c>
      <c r="F149" s="203" t="inlineStr">
        <is>
          <t>BS!J22</t>
        </is>
      </c>
      <c r="G149" s="204" t="inlineStr"/>
    </row>
    <row r="150">
      <c r="A150" s="201" t="inlineStr">
        <is>
          <t>FY26 Q1</t>
        </is>
      </c>
      <c r="B150" s="201" t="inlineStr">
        <is>
          <t>Actual</t>
        </is>
      </c>
      <c r="C150" s="202" t="inlineStr">
        <is>
          <t>Actual</t>
        </is>
      </c>
      <c r="D150" s="201" t="inlineStr">
        <is>
          <t>Buyback $</t>
        </is>
      </c>
      <c r="E150" s="146">
        <f>CF!J25</f>
        <v>-24701</v>
      </c>
      <c r="F150" s="203" t="inlineStr">
        <is>
          <t>CF!J25</t>
        </is>
      </c>
      <c r="G150" s="204" t="inlineStr"/>
    </row>
    <row r="151">
      <c r="A151" s="201" t="inlineStr">
        <is>
          <t>FY26 Q1</t>
        </is>
      </c>
      <c r="B151" s="201" t="inlineStr">
        <is>
          <t>Actual</t>
        </is>
      </c>
      <c r="C151" s="202" t="inlineStr">
        <is>
          <t>Actual</t>
        </is>
      </c>
      <c r="D151" s="201" t="inlineStr">
        <is>
          <t>Dividend $</t>
        </is>
      </c>
      <c r="E151" s="146">
        <f>CF!J26</f>
        <v>-3921</v>
      </c>
      <c r="F151" s="203" t="inlineStr">
        <is>
          <t>CF!J26</t>
        </is>
      </c>
      <c r="G151" s="204" t="inlineStr"/>
    </row>
    <row r="152">
      <c r="A152" s="201" t="inlineStr">
        <is>
          <t>FY26 Q2</t>
        </is>
      </c>
      <c r="B152" s="201" t="inlineStr">
        <is>
          <t>Actual</t>
        </is>
      </c>
      <c r="C152" s="202" t="inlineStr">
        <is>
          <t>Actual</t>
        </is>
      </c>
      <c r="D152" s="201" t="inlineStr">
        <is>
          <t>Revenue</t>
        </is>
      </c>
      <c r="E152" s="146">
        <f>IS!K41</f>
        <v>111184</v>
      </c>
      <c r="F152" s="203" t="inlineStr">
        <is>
          <t>IS!K41</t>
        </is>
      </c>
      <c r="G152" s="204" t="inlineStr"/>
    </row>
    <row r="153">
      <c r="A153" s="201" t="inlineStr">
        <is>
          <t>FY26 Q2</t>
        </is>
      </c>
      <c r="B153" s="201" t="inlineStr">
        <is>
          <t>Actual</t>
        </is>
      </c>
      <c r="C153" s="202" t="inlineStr">
        <is>
          <t>Actual</t>
        </is>
      </c>
      <c r="D153" s="201" t="inlineStr">
        <is>
          <t>Gross Margin $</t>
        </is>
      </c>
      <c r="E153" s="146">
        <f>IS!K44</f>
        <v>54781</v>
      </c>
      <c r="F153" s="203" t="inlineStr">
        <is>
          <t>IS!K44</t>
        </is>
      </c>
      <c r="G153" s="204" t="inlineStr"/>
    </row>
    <row r="154">
      <c r="A154" s="201" t="inlineStr">
        <is>
          <t>FY26 Q2</t>
        </is>
      </c>
      <c r="B154" s="201" t="inlineStr">
        <is>
          <t>Actual</t>
        </is>
      </c>
      <c r="C154" s="202" t="inlineStr">
        <is>
          <t>Actual</t>
        </is>
      </c>
      <c r="D154" s="201" t="inlineStr">
        <is>
          <t>Gross Margin %</t>
        </is>
      </c>
      <c r="E154" s="142">
        <f>IS!K45</f>
        <v>0.492705785005037</v>
      </c>
      <c r="F154" s="203" t="inlineStr">
        <is>
          <t>IS!K45</t>
        </is>
      </c>
      <c r="G154" s="204" t="inlineStr"/>
    </row>
    <row r="155">
      <c r="A155" s="201" t="inlineStr">
        <is>
          <t>FY26 Q2</t>
        </is>
      </c>
      <c r="B155" s="201" t="inlineStr">
        <is>
          <t>Actual</t>
        </is>
      </c>
      <c r="C155" s="202" t="inlineStr">
        <is>
          <t>Actual</t>
        </is>
      </c>
      <c r="D155" s="201" t="inlineStr">
        <is>
          <t>Operating Income</t>
        </is>
      </c>
      <c r="E155" s="146">
        <f>IS!K49</f>
        <v>35885</v>
      </c>
      <c r="F155" s="203" t="inlineStr">
        <is>
          <t>IS!K49</t>
        </is>
      </c>
      <c r="G155" s="204" t="inlineStr"/>
    </row>
    <row r="156">
      <c r="A156" s="201" t="inlineStr">
        <is>
          <t>FY26 Q2</t>
        </is>
      </c>
      <c r="B156" s="201" t="inlineStr">
        <is>
          <t>Actual</t>
        </is>
      </c>
      <c r="C156" s="202" t="inlineStr">
        <is>
          <t>Actual</t>
        </is>
      </c>
      <c r="D156" s="201" t="inlineStr">
        <is>
          <t>Net Income</t>
        </is>
      </c>
      <c r="E156" s="146">
        <f>IS!K53</f>
        <v>29578</v>
      </c>
      <c r="F156" s="203" t="inlineStr">
        <is>
          <t>IS!K53</t>
        </is>
      </c>
      <c r="G156" s="204" t="inlineStr"/>
    </row>
    <row r="157">
      <c r="A157" s="201" t="inlineStr">
        <is>
          <t>FY26 Q2</t>
        </is>
      </c>
      <c r="B157" s="201" t="inlineStr">
        <is>
          <t>Actual</t>
        </is>
      </c>
      <c r="C157" s="202" t="inlineStr">
        <is>
          <t>Actual</t>
        </is>
      </c>
      <c r="D157" s="201" t="inlineStr">
        <is>
          <t>EPS</t>
        </is>
      </c>
      <c r="E157" s="148">
        <f>IS!K57</f>
        <v>2.01</v>
      </c>
      <c r="F157" s="203" t="inlineStr">
        <is>
          <t>IS!K57</t>
        </is>
      </c>
      <c r="G157" s="204" t="inlineStr"/>
    </row>
    <row r="158">
      <c r="A158" s="201" t="inlineStr">
        <is>
          <t>FY26 Q2</t>
        </is>
      </c>
      <c r="B158" s="201" t="inlineStr">
        <is>
          <t>Actual</t>
        </is>
      </c>
      <c r="C158" s="202" t="inlineStr">
        <is>
          <t>Actual</t>
        </is>
      </c>
      <c r="D158" s="201" t="inlineStr">
        <is>
          <t>Cash</t>
        </is>
      </c>
      <c r="E158" s="146">
        <f>BS!K9</f>
        <v>45572</v>
      </c>
      <c r="F158" s="203" t="inlineStr">
        <is>
          <t>BS!K9</t>
        </is>
      </c>
      <c r="G158" s="204" t="inlineStr"/>
    </row>
    <row r="159">
      <c r="A159" s="201" t="inlineStr">
        <is>
          <t>FY26 Q2</t>
        </is>
      </c>
      <c r="B159" s="201" t="inlineStr">
        <is>
          <t>Actual</t>
        </is>
      </c>
      <c r="C159" s="202" t="inlineStr">
        <is>
          <t>Actual</t>
        </is>
      </c>
      <c r="D159" s="201" t="inlineStr">
        <is>
          <t>R&amp;D $</t>
        </is>
      </c>
      <c r="E159" s="146">
        <f>IS!K47</f>
        <v>11419</v>
      </c>
      <c r="F159" s="203" t="inlineStr">
        <is>
          <t>IS!K47</t>
        </is>
      </c>
      <c r="G159" s="204" t="inlineStr"/>
    </row>
    <row r="160">
      <c r="A160" s="201" t="inlineStr">
        <is>
          <t>FY26 Q2</t>
        </is>
      </c>
      <c r="B160" s="201" t="inlineStr">
        <is>
          <t>Actual</t>
        </is>
      </c>
      <c r="C160" s="202" t="inlineStr">
        <is>
          <t>Actual</t>
        </is>
      </c>
      <c r="D160" s="201" t="inlineStr">
        <is>
          <t>SG&amp;A $</t>
        </is>
      </c>
      <c r="E160" s="146">
        <f>IS!K48</f>
        <v>7477</v>
      </c>
      <c r="F160" s="203" t="inlineStr">
        <is>
          <t>IS!K48</t>
        </is>
      </c>
      <c r="G160" s="204" t="inlineStr"/>
    </row>
    <row r="161">
      <c r="A161" s="201" t="inlineStr">
        <is>
          <t>FY26 Q2</t>
        </is>
      </c>
      <c r="B161" s="201" t="inlineStr">
        <is>
          <t>Actual</t>
        </is>
      </c>
      <c r="C161" s="202" t="inlineStr">
        <is>
          <t>Actual</t>
        </is>
      </c>
      <c r="D161" s="201" t="inlineStr">
        <is>
          <t>Operating Margin %</t>
        </is>
      </c>
      <c r="E161" s="142">
        <f>IS!K50</f>
        <v>0.322753273852353</v>
      </c>
      <c r="F161" s="203" t="inlineStr">
        <is>
          <t>IS!K50</t>
        </is>
      </c>
      <c r="G161" s="204" t="inlineStr"/>
    </row>
    <row r="162">
      <c r="A162" s="201" t="inlineStr">
        <is>
          <t>FY26 Q2</t>
        </is>
      </c>
      <c r="B162" s="201" t="inlineStr">
        <is>
          <t>Actual</t>
        </is>
      </c>
      <c r="C162" s="202" t="inlineStr">
        <is>
          <t>Actual</t>
        </is>
      </c>
      <c r="D162" s="201" t="inlineStr">
        <is>
          <t>AR $</t>
        </is>
      </c>
      <c r="E162" s="146">
        <f>BS!K11</f>
        <v>30339</v>
      </c>
      <c r="F162" s="203" t="inlineStr">
        <is>
          <t>BS!K11</t>
        </is>
      </c>
      <c r="G162" s="204" t="inlineStr"/>
    </row>
    <row r="163">
      <c r="A163" s="201" t="inlineStr">
        <is>
          <t>FY26 Q2</t>
        </is>
      </c>
      <c r="B163" s="201" t="inlineStr">
        <is>
          <t>Actual</t>
        </is>
      </c>
      <c r="C163" s="202" t="inlineStr">
        <is>
          <t>Actual</t>
        </is>
      </c>
      <c r="D163" s="201" t="inlineStr">
        <is>
          <t>Inventory $</t>
        </is>
      </c>
      <c r="E163" s="146">
        <f>BS!K13</f>
        <v>6747</v>
      </c>
      <c r="F163" s="203" t="inlineStr">
        <is>
          <t>BS!K13</t>
        </is>
      </c>
      <c r="G163" s="204" t="inlineStr"/>
    </row>
    <row r="164">
      <c r="A164" s="201" t="inlineStr">
        <is>
          <t>FY26 Q2</t>
        </is>
      </c>
      <c r="B164" s="201" t="inlineStr">
        <is>
          <t>Actual</t>
        </is>
      </c>
      <c r="C164" s="202" t="inlineStr">
        <is>
          <t>Actual</t>
        </is>
      </c>
      <c r="D164" s="201" t="inlineStr">
        <is>
          <t>AP $</t>
        </is>
      </c>
      <c r="E164" s="146">
        <f>BS!K22</f>
        <v>57349</v>
      </c>
      <c r="F164" s="203" t="inlineStr">
        <is>
          <t>BS!K22</t>
        </is>
      </c>
      <c r="G164" s="204" t="inlineStr"/>
    </row>
    <row r="165">
      <c r="A165" s="201" t="inlineStr">
        <is>
          <t>FY26 Q2</t>
        </is>
      </c>
      <c r="B165" s="201" t="inlineStr">
        <is>
          <t>Actual</t>
        </is>
      </c>
      <c r="C165" s="202" t="inlineStr">
        <is>
          <t>Actual</t>
        </is>
      </c>
      <c r="D165" s="201" t="inlineStr">
        <is>
          <t>Buyback $</t>
        </is>
      </c>
      <c r="E165" s="146">
        <f>CF!K25</f>
        <v>-12288</v>
      </c>
      <c r="F165" s="203" t="inlineStr">
        <is>
          <t>CF!K25</t>
        </is>
      </c>
      <c r="G165" s="204" t="inlineStr"/>
    </row>
    <row r="166">
      <c r="A166" s="201" t="inlineStr">
        <is>
          <t>FY26 Q2</t>
        </is>
      </c>
      <c r="B166" s="201" t="inlineStr">
        <is>
          <t>Actual</t>
        </is>
      </c>
      <c r="C166" s="202" t="inlineStr">
        <is>
          <t>Actual</t>
        </is>
      </c>
      <c r="D166" s="201" t="inlineStr">
        <is>
          <t>Dividend $</t>
        </is>
      </c>
      <c r="E166" s="146">
        <f>CF!K26</f>
        <v>-3822</v>
      </c>
      <c r="F166" s="203" t="inlineStr">
        <is>
          <t>CF!K26</t>
        </is>
      </c>
      <c r="G166" s="204" t="inlineStr"/>
    </row>
    <row r="167">
      <c r="A167" s="127" t="inlineStr">
        <is>
          <t>FY26 Q1</t>
        </is>
      </c>
      <c r="B167" s="127" t="inlineStr">
        <is>
          <t>FY2026 Approved AOP</t>
        </is>
      </c>
      <c r="C167" s="139" t="inlineStr">
        <is>
          <t>Base</t>
        </is>
      </c>
      <c r="D167" s="205" t="inlineStr">
        <is>
          <t>Revenue</t>
        </is>
      </c>
      <c r="E167" s="146">
        <f>IS!L41</f>
        <v>133094.229859059</v>
      </c>
      <c r="F167" s="206" t="inlineStr">
        <is>
          <t>IS!L41</t>
        </is>
      </c>
      <c r="G167" s="143" t="inlineStr"/>
    </row>
    <row r="168">
      <c r="A168" s="127" t="inlineStr">
        <is>
          <t>FY26 Q1</t>
        </is>
      </c>
      <c r="B168" s="127" t="inlineStr">
        <is>
          <t>FY2026 Approved AOP</t>
        </is>
      </c>
      <c r="C168" s="139" t="inlineStr">
        <is>
          <t>Base</t>
        </is>
      </c>
      <c r="D168" s="205" t="inlineStr">
        <is>
          <t>iPhone Revenue</t>
        </is>
      </c>
      <c r="E168" s="146">
        <f>IS!L35</f>
        <v>65580.6580365662</v>
      </c>
      <c r="F168" s="206" t="inlineStr">
        <is>
          <t>IS!L35</t>
        </is>
      </c>
      <c r="G168" s="143" t="inlineStr"/>
    </row>
    <row r="169">
      <c r="A169" s="127" t="inlineStr">
        <is>
          <t>FY26 Q1</t>
        </is>
      </c>
      <c r="B169" s="127" t="inlineStr">
        <is>
          <t>FY2026 Approved AOP</t>
        </is>
      </c>
      <c r="C169" s="139" t="inlineStr">
        <is>
          <t>Base</t>
        </is>
      </c>
      <c r="D169" s="205" t="inlineStr">
        <is>
          <t>Mac Revenue</t>
        </is>
      </c>
      <c r="E169" s="146">
        <f>IS!L36</f>
        <v>10807.2147955415</v>
      </c>
      <c r="F169" s="206" t="inlineStr">
        <is>
          <t>IS!L36</t>
        </is>
      </c>
      <c r="G169" s="143" t="inlineStr"/>
    </row>
    <row r="170">
      <c r="A170" s="127" t="inlineStr">
        <is>
          <t>FY26 Q1</t>
        </is>
      </c>
      <c r="B170" s="127" t="inlineStr">
        <is>
          <t>FY2026 Approved AOP</t>
        </is>
      </c>
      <c r="C170" s="139" t="inlineStr">
        <is>
          <t>Base</t>
        </is>
      </c>
      <c r="D170" s="205" t="inlineStr">
        <is>
          <t>iPad Revenue</t>
        </is>
      </c>
      <c r="E170" s="146">
        <f>IS!L37</f>
        <v>8682.59072068072</v>
      </c>
      <c r="F170" s="206" t="inlineStr">
        <is>
          <t>IS!L37</t>
        </is>
      </c>
      <c r="G170" s="143" t="inlineStr"/>
    </row>
    <row r="171">
      <c r="A171" s="127" t="inlineStr">
        <is>
          <t>FY26 Q1</t>
        </is>
      </c>
      <c r="B171" s="127" t="inlineStr">
        <is>
          <t>FY2026 Approved AOP</t>
        </is>
      </c>
      <c r="C171" s="139" t="inlineStr">
        <is>
          <t>Base</t>
        </is>
      </c>
      <c r="D171" s="205" t="inlineStr">
        <is>
          <t>Wearables Revenue</t>
        </is>
      </c>
      <c r="E171" s="146">
        <f>IS!L38</f>
        <v>10784.5425048858</v>
      </c>
      <c r="F171" s="206" t="inlineStr">
        <is>
          <t>IS!L38</t>
        </is>
      </c>
      <c r="G171" s="143" t="inlineStr"/>
    </row>
    <row r="172">
      <c r="A172" s="127" t="inlineStr">
        <is>
          <t>FY26 Q1</t>
        </is>
      </c>
      <c r="B172" s="127" t="inlineStr">
        <is>
          <t>FY2026 Approved AOP</t>
        </is>
      </c>
      <c r="C172" s="139" t="inlineStr">
        <is>
          <t>Base</t>
        </is>
      </c>
      <c r="D172" s="205" t="inlineStr">
        <is>
          <t>Services Revenue</t>
        </is>
      </c>
      <c r="E172" s="146">
        <f>IS!L40</f>
        <v>37239.223801385</v>
      </c>
      <c r="F172" s="206" t="inlineStr">
        <is>
          <t>IS!L40</t>
        </is>
      </c>
      <c r="G172" s="143" t="inlineStr"/>
    </row>
    <row r="173">
      <c r="A173" s="127" t="inlineStr">
        <is>
          <t>FY26 Q1</t>
        </is>
      </c>
      <c r="B173" s="127" t="inlineStr">
        <is>
          <t>FY2026 Approved AOP</t>
        </is>
      </c>
      <c r="C173" s="139" t="inlineStr">
        <is>
          <t>Base</t>
        </is>
      </c>
      <c r="D173" s="205" t="inlineStr">
        <is>
          <t>Gross Margin $</t>
        </is>
      </c>
      <c r="E173" s="146">
        <f>IS!L44</f>
        <v>63581.9662113851</v>
      </c>
      <c r="F173" s="206" t="inlineStr">
        <is>
          <t>IS!L44</t>
        </is>
      </c>
      <c r="G173" s="143" t="inlineStr"/>
    </row>
    <row r="174">
      <c r="A174" s="127" t="inlineStr">
        <is>
          <t>FY26 Q1</t>
        </is>
      </c>
      <c r="B174" s="127" t="inlineStr">
        <is>
          <t>FY2026 Approved AOP</t>
        </is>
      </c>
      <c r="C174" s="139" t="inlineStr">
        <is>
          <t>Base</t>
        </is>
      </c>
      <c r="D174" s="205" t="inlineStr">
        <is>
          <t>Gross Margin %</t>
        </is>
      </c>
      <c r="E174" s="142">
        <f>IS!L45</f>
        <v>0.477721432993118</v>
      </c>
      <c r="F174" s="206" t="inlineStr">
        <is>
          <t>IS!L45</t>
        </is>
      </c>
      <c r="G174" s="143" t="inlineStr"/>
    </row>
    <row r="175">
      <c r="A175" s="127" t="inlineStr">
        <is>
          <t>FY26 Q1</t>
        </is>
      </c>
      <c r="B175" s="127" t="inlineStr">
        <is>
          <t>FY2026 Approved AOP</t>
        </is>
      </c>
      <c r="C175" s="139" t="inlineStr">
        <is>
          <t>Base</t>
        </is>
      </c>
      <c r="D175" s="205" t="inlineStr">
        <is>
          <t>Operating Income</t>
        </is>
      </c>
      <c r="E175" s="146">
        <f>IS!L49</f>
        <v>43750.9259623853</v>
      </c>
      <c r="F175" s="206" t="inlineStr">
        <is>
          <t>IS!L49</t>
        </is>
      </c>
      <c r="G175" s="143" t="inlineStr"/>
    </row>
    <row r="176">
      <c r="A176" s="127" t="inlineStr">
        <is>
          <t>FY26 Q1</t>
        </is>
      </c>
      <c r="B176" s="127" t="inlineStr">
        <is>
          <t>FY2026 Approved AOP</t>
        </is>
      </c>
      <c r="C176" s="139" t="inlineStr">
        <is>
          <t>Base</t>
        </is>
      </c>
      <c r="D176" s="205" t="inlineStr">
        <is>
          <t>Net Income</t>
        </is>
      </c>
      <c r="E176" s="146">
        <f>IS!L53</f>
        <v>36750.7778084036</v>
      </c>
      <c r="F176" s="206" t="inlineStr">
        <is>
          <t>IS!L53</t>
        </is>
      </c>
      <c r="G176" s="143" t="inlineStr"/>
    </row>
    <row r="177">
      <c r="A177" s="127" t="inlineStr">
        <is>
          <t>FY26 Q1</t>
        </is>
      </c>
      <c r="B177" s="127" t="inlineStr">
        <is>
          <t>FY2026 Approved AOP</t>
        </is>
      </c>
      <c r="C177" s="139" t="inlineStr">
        <is>
          <t>Base</t>
        </is>
      </c>
      <c r="D177" s="205" t="inlineStr">
        <is>
          <t>EPS</t>
        </is>
      </c>
      <c r="E177" s="148">
        <f>IS!L57</f>
        <v>2.49743266599808</v>
      </c>
      <c r="F177" s="206" t="inlineStr">
        <is>
          <t>IS!L57</t>
        </is>
      </c>
      <c r="G177" s="143" t="inlineStr"/>
    </row>
    <row r="178">
      <c r="A178" s="127" t="inlineStr">
        <is>
          <t>FY26 Q1</t>
        </is>
      </c>
      <c r="B178" s="127" t="inlineStr">
        <is>
          <t>FY2026 Approved AOP</t>
        </is>
      </c>
      <c r="C178" s="139" t="inlineStr">
        <is>
          <t>Base</t>
        </is>
      </c>
      <c r="D178" s="205" t="inlineStr">
        <is>
          <t>FCF</t>
        </is>
      </c>
      <c r="E178" s="146">
        <f>CF!L32</f>
        <v>44587.3440803469</v>
      </c>
      <c r="F178" s="206" t="inlineStr">
        <is>
          <t>CF!L32</t>
        </is>
      </c>
      <c r="G178" s="143" t="inlineStr"/>
    </row>
    <row r="179">
      <c r="A179" s="127" t="inlineStr">
        <is>
          <t>FY26 Q1</t>
        </is>
      </c>
      <c r="B179" s="127" t="inlineStr">
        <is>
          <t>FY2026 Approved AOP</t>
        </is>
      </c>
      <c r="C179" s="139" t="inlineStr">
        <is>
          <t>Base</t>
        </is>
      </c>
      <c r="D179" s="205" t="inlineStr">
        <is>
          <t>Cash</t>
        </is>
      </c>
      <c r="E179" s="146">
        <f>BS!L9</f>
        <v>34880.1177367741</v>
      </c>
      <c r="F179" s="206" t="inlineStr">
        <is>
          <t>BS!L9</t>
        </is>
      </c>
      <c r="G179" s="143" t="inlineStr"/>
    </row>
    <row r="180">
      <c r="A180" s="127" t="inlineStr">
        <is>
          <t>FY26 Q1</t>
        </is>
      </c>
      <c r="B180" s="127" t="inlineStr">
        <is>
          <t>FY2026 Approved AOP</t>
        </is>
      </c>
      <c r="C180" s="139" t="inlineStr">
        <is>
          <t>Base</t>
        </is>
      </c>
      <c r="D180" s="205" t="inlineStr">
        <is>
          <t>R&amp;D $</t>
        </is>
      </c>
      <c r="E180" s="146">
        <f>IS!L47</f>
        <v>11046.8210783019</v>
      </c>
      <c r="F180" s="206" t="inlineStr">
        <is>
          <t>IS!L47</t>
        </is>
      </c>
      <c r="G180" s="143" t="inlineStr"/>
    </row>
    <row r="181">
      <c r="A181" s="127" t="inlineStr">
        <is>
          <t>FY26 Q1</t>
        </is>
      </c>
      <c r="B181" s="127" t="inlineStr">
        <is>
          <t>FY2026 Approved AOP</t>
        </is>
      </c>
      <c r="C181" s="139" t="inlineStr">
        <is>
          <t>Base</t>
        </is>
      </c>
      <c r="D181" s="205" t="inlineStr">
        <is>
          <t>SG&amp;A $</t>
        </is>
      </c>
      <c r="E181" s="146">
        <f>IS!L48</f>
        <v>8784.2191706979</v>
      </c>
      <c r="F181" s="206" t="inlineStr">
        <is>
          <t>IS!L48</t>
        </is>
      </c>
      <c r="G181" s="143" t="inlineStr"/>
    </row>
    <row r="182">
      <c r="A182" s="127" t="inlineStr">
        <is>
          <t>FY26 Q1</t>
        </is>
      </c>
      <c r="B182" s="127" t="inlineStr">
        <is>
          <t>FY2026 Approved AOP</t>
        </is>
      </c>
      <c r="C182" s="139" t="inlineStr">
        <is>
          <t>Base</t>
        </is>
      </c>
      <c r="D182" s="205" t="inlineStr">
        <is>
          <t>Operating Margin %</t>
        </is>
      </c>
      <c r="E182" s="142">
        <f>IS!L50</f>
        <v>0.328721432993118</v>
      </c>
      <c r="F182" s="206" t="inlineStr">
        <is>
          <t>IS!L50</t>
        </is>
      </c>
      <c r="G182" s="143" t="inlineStr"/>
    </row>
    <row r="183">
      <c r="A183" s="127" t="inlineStr">
        <is>
          <t>FY26 Q1</t>
        </is>
      </c>
      <c r="B183" s="127" t="inlineStr">
        <is>
          <t>FY2026 Approved AOP</t>
        </is>
      </c>
      <c r="C183" s="139" t="inlineStr">
        <is>
          <t>Base</t>
        </is>
      </c>
      <c r="D183" s="205" t="inlineStr">
        <is>
          <t>AR $</t>
        </is>
      </c>
      <c r="E183" s="146">
        <f>BS!L11</f>
        <v>48801.2176149884</v>
      </c>
      <c r="F183" s="206" t="inlineStr">
        <is>
          <t>BS!L11</t>
        </is>
      </c>
      <c r="G183" s="143" t="inlineStr"/>
    </row>
    <row r="184">
      <c r="A184" s="127" t="inlineStr">
        <is>
          <t>FY26 Q1</t>
        </is>
      </c>
      <c r="B184" s="127" t="inlineStr">
        <is>
          <t>FY2026 Approved AOP</t>
        </is>
      </c>
      <c r="C184" s="139" t="inlineStr">
        <is>
          <t>Base</t>
        </is>
      </c>
      <c r="D184" s="205" t="inlineStr">
        <is>
          <t>Inventory $</t>
        </is>
      </c>
      <c r="E184" s="146">
        <f>BS!L13</f>
        <v>7723.58484974156</v>
      </c>
      <c r="F184" s="206" t="inlineStr">
        <is>
          <t>BS!L13</t>
        </is>
      </c>
      <c r="G184" s="143" t="inlineStr"/>
    </row>
    <row r="185">
      <c r="A185" s="127" t="inlineStr">
        <is>
          <t>FY26 Q1</t>
        </is>
      </c>
      <c r="B185" s="127" t="inlineStr">
        <is>
          <t>FY2026 Approved AOP</t>
        </is>
      </c>
      <c r="C185" s="139" t="inlineStr">
        <is>
          <t>Base</t>
        </is>
      </c>
      <c r="D185" s="205" t="inlineStr">
        <is>
          <t>AP $</t>
        </is>
      </c>
      <c r="E185" s="146">
        <f>BS!L22</f>
        <v>88821.2257720279</v>
      </c>
      <c r="F185" s="206" t="inlineStr">
        <is>
          <t>BS!L22</t>
        </is>
      </c>
      <c r="G185" s="143" t="inlineStr"/>
    </row>
    <row r="186">
      <c r="A186" s="127" t="inlineStr">
        <is>
          <t>FY26 Q1</t>
        </is>
      </c>
      <c r="B186" s="127" t="inlineStr">
        <is>
          <t>FY2026 Approved AOP</t>
        </is>
      </c>
      <c r="C186" s="139" t="inlineStr">
        <is>
          <t>Base</t>
        </is>
      </c>
      <c r="D186" s="205" t="inlineStr">
        <is>
          <t>CapEx $</t>
        </is>
      </c>
      <c r="E186" s="146">
        <f>CF!L22</f>
        <v>-3992.82689577177</v>
      </c>
      <c r="F186" s="206" t="inlineStr">
        <is>
          <t>CF!L22</t>
        </is>
      </c>
      <c r="G186" s="143" t="inlineStr"/>
    </row>
    <row r="187">
      <c r="A187" s="127" t="inlineStr">
        <is>
          <t>FY26 Q1</t>
        </is>
      </c>
      <c r="B187" s="127" t="inlineStr">
        <is>
          <t>FY2026 Approved AOP</t>
        </is>
      </c>
      <c r="C187" s="139" t="inlineStr">
        <is>
          <t>Base</t>
        </is>
      </c>
      <c r="D187" s="205" t="inlineStr">
        <is>
          <t>Buyback $</t>
        </is>
      </c>
      <c r="E187" s="146">
        <f>CF!L25</f>
        <v>-40128.6096723122</v>
      </c>
      <c r="F187" s="206" t="inlineStr">
        <is>
          <t>CF!L25</t>
        </is>
      </c>
      <c r="G187" s="143" t="inlineStr"/>
    </row>
    <row r="188">
      <c r="A188" s="127" t="inlineStr">
        <is>
          <t>FY26 Q1</t>
        </is>
      </c>
      <c r="B188" s="127" t="inlineStr">
        <is>
          <t>FY2026 Approved AOP</t>
        </is>
      </c>
      <c r="C188" s="139" t="inlineStr">
        <is>
          <t>Base</t>
        </is>
      </c>
      <c r="D188" s="205" t="inlineStr">
        <is>
          <t>Dividend $</t>
        </is>
      </c>
      <c r="E188" s="146">
        <f>CF!L26</f>
        <v>-5512.61667126055</v>
      </c>
      <c r="F188" s="206" t="inlineStr">
        <is>
          <t>CF!L26</t>
        </is>
      </c>
      <c r="G188" s="143" t="inlineStr"/>
    </row>
    <row r="189">
      <c r="A189" s="127" t="inlineStr">
        <is>
          <t>FY26 Q1</t>
        </is>
      </c>
      <c r="B189" s="127" t="inlineStr">
        <is>
          <t>FY2026 Approved AOP</t>
        </is>
      </c>
      <c r="C189" s="139" t="inlineStr">
        <is>
          <t>Base</t>
        </is>
      </c>
      <c r="D189" s="205" t="inlineStr">
        <is>
          <t>Total Assets $</t>
        </is>
      </c>
      <c r="E189" s="146">
        <f>BS!L20</f>
        <v>369311.777236859</v>
      </c>
      <c r="F189" s="206" t="inlineStr">
        <is>
          <t>BS!L20</t>
        </is>
      </c>
      <c r="G189" s="143" t="inlineStr"/>
    </row>
    <row r="190">
      <c r="A190" s="127" t="inlineStr">
        <is>
          <t>FY26 Q1</t>
        </is>
      </c>
      <c r="B190" s="127" t="inlineStr">
        <is>
          <t>FY2026 Approved AOP</t>
        </is>
      </c>
      <c r="C190" s="139" t="inlineStr">
        <is>
          <t>Base</t>
        </is>
      </c>
      <c r="D190" s="205" t="inlineStr">
        <is>
          <t>Total Liabilities $</t>
        </is>
      </c>
      <c r="E190" s="146">
        <f>BS!L31</f>
        <v>304469.225772028</v>
      </c>
      <c r="F190" s="206" t="inlineStr">
        <is>
          <t>BS!L31</t>
        </is>
      </c>
      <c r="G190" s="143" t="inlineStr"/>
    </row>
    <row r="191">
      <c r="A191" s="127" t="inlineStr">
        <is>
          <t>FY26 Q1</t>
        </is>
      </c>
      <c r="B191" s="127" t="inlineStr">
        <is>
          <t>FY2026 Approved AOP</t>
        </is>
      </c>
      <c r="C191" s="139" t="inlineStr">
        <is>
          <t>Base</t>
        </is>
      </c>
      <c r="D191" s="205" t="inlineStr">
        <is>
          <t>Total Equity $</t>
        </is>
      </c>
      <c r="E191" s="146">
        <f>BS!L36</f>
        <v>64842.5514648309</v>
      </c>
      <c r="F191" s="206" t="inlineStr">
        <is>
          <t>BS!L36</t>
        </is>
      </c>
      <c r="G191" s="143" t="inlineStr"/>
    </row>
    <row r="192">
      <c r="A192" s="127" t="inlineStr">
        <is>
          <t>FY26 Q1</t>
        </is>
      </c>
      <c r="B192" s="127" t="inlineStr">
        <is>
          <t>FY2026 Approved AOP</t>
        </is>
      </c>
      <c r="C192" s="139" t="inlineStr">
        <is>
          <t>Base</t>
        </is>
      </c>
      <c r="D192" s="205" t="inlineStr">
        <is>
          <t>DSO</t>
        </is>
      </c>
      <c r="E192" s="190">
        <f>Drivers!G41</f>
        <v>33</v>
      </c>
      <c r="F192" s="206" t="inlineStr">
        <is>
          <t>Drivers!G41</t>
        </is>
      </c>
      <c r="G192" s="143" t="inlineStr">
        <is>
          <t>Drivers tab Active-column assumption (days), cascades with the live Drivers!B6 scenario switch -- constant across every quarter within this vintage (not period-specific), since DSO/DIO/DPO are not part of any vintage's Driver Adjustment Log.</t>
        </is>
      </c>
    </row>
    <row r="193">
      <c r="A193" s="127" t="inlineStr">
        <is>
          <t>FY26 Q1</t>
        </is>
      </c>
      <c r="B193" s="127" t="inlineStr">
        <is>
          <t>FY2026 Approved AOP</t>
        </is>
      </c>
      <c r="C193" s="139" t="inlineStr">
        <is>
          <t>Base</t>
        </is>
      </c>
      <c r="D193" s="205" t="inlineStr">
        <is>
          <t>DIO</t>
        </is>
      </c>
      <c r="E193" s="190">
        <f>Drivers!G42</f>
        <v>10</v>
      </c>
      <c r="F193" s="206" t="inlineStr">
        <is>
          <t>Drivers!G42</t>
        </is>
      </c>
      <c r="G193" s="143" t="inlineStr">
        <is>
          <t>Drivers tab Active-column assumption (days), cascades with the live Drivers!B6 scenario switch -- constant across every quarter within this vintage (not period-specific), since DSO/DIO/DPO are not part of any vintage's Driver Adjustment Log.</t>
        </is>
      </c>
    </row>
    <row r="194">
      <c r="A194" s="127" t="inlineStr">
        <is>
          <t>FY26 Q1</t>
        </is>
      </c>
      <c r="B194" s="127" t="inlineStr">
        <is>
          <t>FY2026 Approved AOP</t>
        </is>
      </c>
      <c r="C194" s="139" t="inlineStr">
        <is>
          <t>Base</t>
        </is>
      </c>
      <c r="D194" s="205" t="inlineStr">
        <is>
          <t>DPO</t>
        </is>
      </c>
      <c r="E194" s="190">
        <f>Drivers!G43</f>
        <v>115</v>
      </c>
      <c r="F194" s="206" t="inlineStr">
        <is>
          <t>Drivers!G43</t>
        </is>
      </c>
      <c r="G194" s="143" t="inlineStr">
        <is>
          <t>Drivers tab Active-column assumption (days), cascades with the live Drivers!B6 scenario switch -- constant across every quarter within this vintage (not period-specific), since DSO/DIO/DPO are not part of any vintage's Driver Adjustment Log.</t>
        </is>
      </c>
    </row>
    <row r="195">
      <c r="A195" s="127" t="inlineStr">
        <is>
          <t>FY26 Q2</t>
        </is>
      </c>
      <c r="B195" s="127" t="inlineStr">
        <is>
          <t>FY2026 Approved AOP</t>
        </is>
      </c>
      <c r="C195" s="139" t="inlineStr">
        <is>
          <t>Base</t>
        </is>
      </c>
      <c r="D195" s="205" t="inlineStr">
        <is>
          <t>Revenue</t>
        </is>
      </c>
      <c r="E195" s="146">
        <f>IS!M41</f>
        <v>101553.202817049</v>
      </c>
      <c r="F195" s="206" t="inlineStr">
        <is>
          <t>IS!M41</t>
        </is>
      </c>
      <c r="G195" s="143" t="inlineStr"/>
    </row>
    <row r="196">
      <c r="A196" s="127" t="inlineStr">
        <is>
          <t>FY26 Q2</t>
        </is>
      </c>
      <c r="B196" s="127" t="inlineStr">
        <is>
          <t>FY2026 Approved AOP</t>
        </is>
      </c>
      <c r="C196" s="139" t="inlineStr">
        <is>
          <t>Base</t>
        </is>
      </c>
      <c r="D196" s="205" t="inlineStr">
        <is>
          <t>iPhone Revenue</t>
        </is>
      </c>
      <c r="E196" s="146">
        <f>IS!M35</f>
        <v>50039.1780583987</v>
      </c>
      <c r="F196" s="206" t="inlineStr">
        <is>
          <t>IS!M35</t>
        </is>
      </c>
      <c r="G196" s="143" t="inlineStr"/>
    </row>
    <row r="197">
      <c r="A197" s="127" t="inlineStr">
        <is>
          <t>FY26 Q2</t>
        </is>
      </c>
      <c r="B197" s="127" t="inlineStr">
        <is>
          <t>FY2026 Approved AOP</t>
        </is>
      </c>
      <c r="C197" s="139" t="inlineStr">
        <is>
          <t>Base</t>
        </is>
      </c>
      <c r="D197" s="205" t="inlineStr">
        <is>
          <t>Mac Revenue</t>
        </is>
      </c>
      <c r="E197" s="146">
        <f>IS!M36</f>
        <v>8246.09208965141</v>
      </c>
      <c r="F197" s="206" t="inlineStr">
        <is>
          <t>IS!M36</t>
        </is>
      </c>
      <c r="G197" s="143" t="inlineStr"/>
    </row>
    <row r="198">
      <c r="A198" s="127" t="inlineStr">
        <is>
          <t>FY26 Q2</t>
        </is>
      </c>
      <c r="B198" s="127" t="inlineStr">
        <is>
          <t>FY2026 Approved AOP</t>
        </is>
      </c>
      <c r="C198" s="139" t="inlineStr">
        <is>
          <t>Base</t>
        </is>
      </c>
      <c r="D198" s="205" t="inlineStr">
        <is>
          <t>iPad Revenue</t>
        </is>
      </c>
      <c r="E198" s="146">
        <f>IS!M37</f>
        <v>6624.96711817215</v>
      </c>
      <c r="F198" s="206" t="inlineStr">
        <is>
          <t>IS!M37</t>
        </is>
      </c>
      <c r="G198" s="143" t="inlineStr"/>
    </row>
    <row r="199">
      <c r="A199" s="127" t="inlineStr">
        <is>
          <t>FY26 Q2</t>
        </is>
      </c>
      <c r="B199" s="127" t="inlineStr">
        <is>
          <t>FY2026 Approved AOP</t>
        </is>
      </c>
      <c r="C199" s="139" t="inlineStr">
        <is>
          <t>Base</t>
        </is>
      </c>
      <c r="D199" s="205" t="inlineStr">
        <is>
          <t>Wearables Revenue</t>
        </is>
      </c>
      <c r="E199" s="146">
        <f>IS!M38</f>
        <v>8228.7927391557</v>
      </c>
      <c r="F199" s="206" t="inlineStr">
        <is>
          <t>IS!M38</t>
        </is>
      </c>
      <c r="G199" s="143" t="inlineStr"/>
    </row>
    <row r="200">
      <c r="A200" s="127" t="inlineStr">
        <is>
          <t>FY26 Q2</t>
        </is>
      </c>
      <c r="B200" s="127" t="inlineStr">
        <is>
          <t>FY2026 Approved AOP</t>
        </is>
      </c>
      <c r="C200" s="139" t="inlineStr">
        <is>
          <t>Base</t>
        </is>
      </c>
      <c r="D200" s="205" t="inlineStr">
        <is>
          <t>Services Revenue</t>
        </is>
      </c>
      <c r="E200" s="146">
        <f>IS!M40</f>
        <v>28414.1728116706</v>
      </c>
      <c r="F200" s="206" t="inlineStr">
        <is>
          <t>IS!M40</t>
        </is>
      </c>
      <c r="G200" s="143" t="inlineStr"/>
    </row>
    <row r="201">
      <c r="A201" s="127" t="inlineStr">
        <is>
          <t>FY26 Q2</t>
        </is>
      </c>
      <c r="B201" s="127" t="inlineStr">
        <is>
          <t>FY2026 Approved AOP</t>
        </is>
      </c>
      <c r="C201" s="139" t="inlineStr">
        <is>
          <t>Base</t>
        </is>
      </c>
      <c r="D201" s="205" t="inlineStr">
        <is>
          <t>Gross Margin $</t>
        </is>
      </c>
      <c r="E201" s="146">
        <f>IS!M44</f>
        <v>48514.1415748011</v>
      </c>
      <c r="F201" s="206" t="inlineStr">
        <is>
          <t>IS!M44</t>
        </is>
      </c>
      <c r="G201" s="143" t="inlineStr"/>
    </row>
    <row r="202">
      <c r="A202" s="127" t="inlineStr">
        <is>
          <t>FY26 Q2</t>
        </is>
      </c>
      <c r="B202" s="127" t="inlineStr">
        <is>
          <t>FY2026 Approved AOP</t>
        </is>
      </c>
      <c r="C202" s="139" t="inlineStr">
        <is>
          <t>Base</t>
        </is>
      </c>
      <c r="D202" s="205" t="inlineStr">
        <is>
          <t>Gross Margin %</t>
        </is>
      </c>
      <c r="E202" s="142">
        <f>IS!M45</f>
        <v>0.477721432993118</v>
      </c>
      <c r="F202" s="206" t="inlineStr">
        <is>
          <t>IS!M45</t>
        </is>
      </c>
      <c r="G202" s="143" t="inlineStr"/>
    </row>
    <row r="203">
      <c r="A203" s="127" t="inlineStr">
        <is>
          <t>FY26 Q2</t>
        </is>
      </c>
      <c r="B203" s="127" t="inlineStr">
        <is>
          <t>FY2026 Approved AOP</t>
        </is>
      </c>
      <c r="C203" s="139" t="inlineStr">
        <is>
          <t>Base</t>
        </is>
      </c>
      <c r="D203" s="205" t="inlineStr">
        <is>
          <t>Operating Income</t>
        </is>
      </c>
      <c r="E203" s="146">
        <f>IS!M49</f>
        <v>33382.7143550609</v>
      </c>
      <c r="F203" s="206" t="inlineStr">
        <is>
          <t>IS!M49</t>
        </is>
      </c>
      <c r="G203" s="143" t="inlineStr"/>
    </row>
    <row r="204">
      <c r="A204" s="127" t="inlineStr">
        <is>
          <t>FY26 Q2</t>
        </is>
      </c>
      <c r="B204" s="127" t="inlineStr">
        <is>
          <t>FY2026 Approved AOP</t>
        </is>
      </c>
      <c r="C204" s="139" t="inlineStr">
        <is>
          <t>Base</t>
        </is>
      </c>
      <c r="D204" s="205" t="inlineStr">
        <is>
          <t>Net Income</t>
        </is>
      </c>
      <c r="E204" s="146">
        <f>IS!M53</f>
        <v>28041.4800582512</v>
      </c>
      <c r="F204" s="206" t="inlineStr">
        <is>
          <t>IS!M53</t>
        </is>
      </c>
      <c r="G204" s="143" t="inlineStr"/>
    </row>
    <row r="205">
      <c r="A205" s="127" t="inlineStr">
        <is>
          <t>FY26 Q2</t>
        </is>
      </c>
      <c r="B205" s="127" t="inlineStr">
        <is>
          <t>FY2026 Approved AOP</t>
        </is>
      </c>
      <c r="C205" s="139" t="inlineStr">
        <is>
          <t>Base</t>
        </is>
      </c>
      <c r="D205" s="205" t="inlineStr">
        <is>
          <t>EPS</t>
        </is>
      </c>
      <c r="E205" s="148">
        <f>IS!M57</f>
        <v>1.90558438424115</v>
      </c>
      <c r="F205" s="206" t="inlineStr">
        <is>
          <t>IS!M57</t>
        </is>
      </c>
      <c r="G205" s="143" t="inlineStr"/>
    </row>
    <row r="206">
      <c r="A206" s="127" t="inlineStr">
        <is>
          <t>FY26 Q2</t>
        </is>
      </c>
      <c r="B206" s="127" t="inlineStr">
        <is>
          <t>FY2026 Approved AOP</t>
        </is>
      </c>
      <c r="C206" s="139" t="inlineStr">
        <is>
          <t>Base</t>
        </is>
      </c>
      <c r="D206" s="205" t="inlineStr">
        <is>
          <t>FCF</t>
        </is>
      </c>
      <c r="E206" s="146">
        <f>CF!M32</f>
        <v>20315.4096062515</v>
      </c>
      <c r="F206" s="206" t="inlineStr">
        <is>
          <t>CF!M32</t>
        </is>
      </c>
      <c r="G206" s="143" t="inlineStr"/>
    </row>
    <row r="207">
      <c r="A207" s="127" t="inlineStr">
        <is>
          <t>FY26 Q2</t>
        </is>
      </c>
      <c r="B207" s="127" t="inlineStr">
        <is>
          <t>FY2026 Approved AOP</t>
        </is>
      </c>
      <c r="C207" s="139" t="inlineStr">
        <is>
          <t>Base</t>
        </is>
      </c>
      <c r="D207" s="205" t="inlineStr">
        <is>
          <t>Cash</t>
        </is>
      </c>
      <c r="E207" s="146">
        <f>BS!M9</f>
        <v>32705.4366886616</v>
      </c>
      <c r="F207" s="206" t="inlineStr">
        <is>
          <t>BS!M9</t>
        </is>
      </c>
      <c r="G207" s="143" t="inlineStr"/>
    </row>
    <row r="208">
      <c r="A208" s="127" t="inlineStr">
        <is>
          <t>FY26 Q2</t>
        </is>
      </c>
      <c r="B208" s="127" t="inlineStr">
        <is>
          <t>FY2026 Approved AOP</t>
        </is>
      </c>
      <c r="C208" s="139" t="inlineStr">
        <is>
          <t>Base</t>
        </is>
      </c>
      <c r="D208" s="205" t="inlineStr">
        <is>
          <t>R&amp;D $</t>
        </is>
      </c>
      <c r="E208" s="146">
        <f>IS!M47</f>
        <v>8428.91583381503</v>
      </c>
      <c r="F208" s="206" t="inlineStr">
        <is>
          <t>IS!M47</t>
        </is>
      </c>
      <c r="G208" s="143" t="inlineStr"/>
    </row>
    <row r="209">
      <c r="A209" s="127" t="inlineStr">
        <is>
          <t>FY26 Q2</t>
        </is>
      </c>
      <c r="B209" s="127" t="inlineStr">
        <is>
          <t>FY2026 Approved AOP</t>
        </is>
      </c>
      <c r="C209" s="139" t="inlineStr">
        <is>
          <t>Base</t>
        </is>
      </c>
      <c r="D209" s="205" t="inlineStr">
        <is>
          <t>SG&amp;A $</t>
        </is>
      </c>
      <c r="E209" s="146">
        <f>IS!M48</f>
        <v>6702.51138592521</v>
      </c>
      <c r="F209" s="206" t="inlineStr">
        <is>
          <t>IS!M48</t>
        </is>
      </c>
      <c r="G209" s="143" t="inlineStr"/>
    </row>
    <row r="210">
      <c r="A210" s="127" t="inlineStr">
        <is>
          <t>FY26 Q2</t>
        </is>
      </c>
      <c r="B210" s="127" t="inlineStr">
        <is>
          <t>FY2026 Approved AOP</t>
        </is>
      </c>
      <c r="C210" s="139" t="inlineStr">
        <is>
          <t>Base</t>
        </is>
      </c>
      <c r="D210" s="205" t="inlineStr">
        <is>
          <t>Operating Margin %</t>
        </is>
      </c>
      <c r="E210" s="142">
        <f>IS!M50</f>
        <v>0.328721432993118</v>
      </c>
      <c r="F210" s="206" t="inlineStr">
        <is>
          <t>IS!M50</t>
        </is>
      </c>
      <c r="G210" s="143" t="inlineStr"/>
    </row>
    <row r="211">
      <c r="A211" s="127" t="inlineStr">
        <is>
          <t>FY26 Q2</t>
        </is>
      </c>
      <c r="B211" s="127" t="inlineStr">
        <is>
          <t>FY2026 Approved AOP</t>
        </is>
      </c>
      <c r="C211" s="139" t="inlineStr">
        <is>
          <t>Base</t>
        </is>
      </c>
      <c r="D211" s="205" t="inlineStr">
        <is>
          <t>AR $</t>
        </is>
      </c>
      <c r="E211" s="146">
        <f>BS!M11</f>
        <v>37236.1743662511</v>
      </c>
      <c r="F211" s="206" t="inlineStr">
        <is>
          <t>BS!M11</t>
        </is>
      </c>
      <c r="G211" s="143" t="inlineStr"/>
    </row>
    <row r="212">
      <c r="A212" s="127" t="inlineStr">
        <is>
          <t>FY26 Q2</t>
        </is>
      </c>
      <c r="B212" s="127" t="inlineStr">
        <is>
          <t>FY2026 Approved AOP</t>
        </is>
      </c>
      <c r="C212" s="139" t="inlineStr">
        <is>
          <t>Base</t>
        </is>
      </c>
      <c r="D212" s="205" t="inlineStr">
        <is>
          <t>Inventory $</t>
        </is>
      </c>
      <c r="E212" s="146">
        <f>BS!M13</f>
        <v>5893.22902691638</v>
      </c>
      <c r="F212" s="206" t="inlineStr">
        <is>
          <t>BS!M13</t>
        </is>
      </c>
      <c r="G212" s="143" t="inlineStr"/>
    </row>
    <row r="213">
      <c r="A213" s="127" t="inlineStr">
        <is>
          <t>FY26 Q2</t>
        </is>
      </c>
      <c r="B213" s="127" t="inlineStr">
        <is>
          <t>FY2026 Approved AOP</t>
        </is>
      </c>
      <c r="C213" s="139" t="inlineStr">
        <is>
          <t>Base</t>
        </is>
      </c>
      <c r="D213" s="205" t="inlineStr">
        <is>
          <t>AP $</t>
        </is>
      </c>
      <c r="E213" s="146">
        <f>BS!M22</f>
        <v>67772.1338095384</v>
      </c>
      <c r="F213" s="206" t="inlineStr">
        <is>
          <t>BS!M22</t>
        </is>
      </c>
      <c r="G213" s="143" t="inlineStr"/>
    </row>
    <row r="214">
      <c r="A214" s="127" t="inlineStr">
        <is>
          <t>FY26 Q2</t>
        </is>
      </c>
      <c r="B214" s="127" t="inlineStr">
        <is>
          <t>FY2026 Approved AOP</t>
        </is>
      </c>
      <c r="C214" s="139" t="inlineStr">
        <is>
          <t>Base</t>
        </is>
      </c>
      <c r="D214" s="205" t="inlineStr">
        <is>
          <t>CapEx $</t>
        </is>
      </c>
      <c r="E214" s="146">
        <f>CF!M22</f>
        <v>-3046.59608451146</v>
      </c>
      <c r="F214" s="206" t="inlineStr">
        <is>
          <t>CF!M22</t>
        </is>
      </c>
      <c r="G214" s="143" t="inlineStr"/>
    </row>
    <row r="215">
      <c r="A215" s="127" t="inlineStr">
        <is>
          <t>FY26 Q2</t>
        </is>
      </c>
      <c r="B215" s="127" t="inlineStr">
        <is>
          <t>FY2026 Approved AOP</t>
        </is>
      </c>
      <c r="C215" s="139" t="inlineStr">
        <is>
          <t>Base</t>
        </is>
      </c>
      <c r="D215" s="205" t="inlineStr">
        <is>
          <t>Buyback $</t>
        </is>
      </c>
      <c r="E215" s="146">
        <f>CF!M25</f>
        <v>-18283.8686456264</v>
      </c>
      <c r="F215" s="206" t="inlineStr">
        <is>
          <t>CF!M25</t>
        </is>
      </c>
      <c r="G215" s="143" t="inlineStr"/>
    </row>
    <row r="216">
      <c r="A216" s="127" t="inlineStr">
        <is>
          <t>FY26 Q2</t>
        </is>
      </c>
      <c r="B216" s="127" t="inlineStr">
        <is>
          <t>FY2026 Approved AOP</t>
        </is>
      </c>
      <c r="C216" s="139" t="inlineStr">
        <is>
          <t>Base</t>
        </is>
      </c>
      <c r="D216" s="205" t="inlineStr">
        <is>
          <t>Dividend $</t>
        </is>
      </c>
      <c r="E216" s="146">
        <f>CF!M26</f>
        <v>-4206.22200873767</v>
      </c>
      <c r="F216" s="206" t="inlineStr">
        <is>
          <t>CF!M26</t>
        </is>
      </c>
      <c r="G216" s="143" t="inlineStr"/>
    </row>
    <row r="217">
      <c r="A217" s="127" t="inlineStr">
        <is>
          <t>FY26 Q2</t>
        </is>
      </c>
      <c r="B217" s="127" t="inlineStr">
        <is>
          <t>FY2026 Approved AOP</t>
        </is>
      </c>
      <c r="C217" s="139" t="inlineStr">
        <is>
          <t>Base</t>
        </is>
      </c>
      <c r="D217" s="205" t="inlineStr">
        <is>
          <t>Total Assets $</t>
        </is>
      </c>
      <c r="E217" s="146">
        <f>BS!M20</f>
        <v>353814.074678256</v>
      </c>
      <c r="F217" s="206" t="inlineStr">
        <is>
          <t>BS!M20</t>
        </is>
      </c>
      <c r="G217" s="143" t="inlineStr"/>
    </row>
    <row r="218">
      <c r="A218" s="127" t="inlineStr">
        <is>
          <t>FY26 Q2</t>
        </is>
      </c>
      <c r="B218" s="127" t="inlineStr">
        <is>
          <t>FY2026 Approved AOP</t>
        </is>
      </c>
      <c r="C218" s="139" t="inlineStr">
        <is>
          <t>Base</t>
        </is>
      </c>
      <c r="D218" s="205" t="inlineStr">
        <is>
          <t>Total Liabilities $</t>
        </is>
      </c>
      <c r="E218" s="146">
        <f>BS!M31</f>
        <v>283420.133809538</v>
      </c>
      <c r="F218" s="206" t="inlineStr">
        <is>
          <t>BS!M31</t>
        </is>
      </c>
      <c r="G218" s="143" t="inlineStr"/>
    </row>
    <row r="219">
      <c r="A219" s="127" t="inlineStr">
        <is>
          <t>FY26 Q2</t>
        </is>
      </c>
      <c r="B219" s="127" t="inlineStr">
        <is>
          <t>FY2026 Approved AOP</t>
        </is>
      </c>
      <c r="C219" s="139" t="inlineStr">
        <is>
          <t>Base</t>
        </is>
      </c>
      <c r="D219" s="205" t="inlineStr">
        <is>
          <t>Total Equity $</t>
        </is>
      </c>
      <c r="E219" s="146">
        <f>BS!M36</f>
        <v>70393.940868718</v>
      </c>
      <c r="F219" s="206" t="inlineStr">
        <is>
          <t>BS!M36</t>
        </is>
      </c>
      <c r="G219" s="143" t="inlineStr"/>
    </row>
    <row r="220">
      <c r="A220" s="127" t="inlineStr">
        <is>
          <t>FY26 Q2</t>
        </is>
      </c>
      <c r="B220" s="127" t="inlineStr">
        <is>
          <t>FY2026 Approved AOP</t>
        </is>
      </c>
      <c r="C220" s="139" t="inlineStr">
        <is>
          <t>Base</t>
        </is>
      </c>
      <c r="D220" s="205" t="inlineStr">
        <is>
          <t>DSO</t>
        </is>
      </c>
      <c r="E220" s="190">
        <f>Drivers!G41</f>
        <v>33</v>
      </c>
      <c r="F220" s="206" t="inlineStr">
        <is>
          <t>Drivers!G41</t>
        </is>
      </c>
      <c r="G220" s="143" t="inlineStr">
        <is>
          <t>Drivers tab Active-column assumption (days), cascades with the live Drivers!B6 scenario switch -- constant across every quarter within this vintage (not period-specific), since DSO/DIO/DPO are not part of any vintage's Driver Adjustment Log.</t>
        </is>
      </c>
    </row>
    <row r="221">
      <c r="A221" s="127" t="inlineStr">
        <is>
          <t>FY26 Q2</t>
        </is>
      </c>
      <c r="B221" s="127" t="inlineStr">
        <is>
          <t>FY2026 Approved AOP</t>
        </is>
      </c>
      <c r="C221" s="139" t="inlineStr">
        <is>
          <t>Base</t>
        </is>
      </c>
      <c r="D221" s="205" t="inlineStr">
        <is>
          <t>DIO</t>
        </is>
      </c>
      <c r="E221" s="190">
        <f>Drivers!G42</f>
        <v>10</v>
      </c>
      <c r="F221" s="206" t="inlineStr">
        <is>
          <t>Drivers!G42</t>
        </is>
      </c>
      <c r="G221" s="143" t="inlineStr">
        <is>
          <t>Drivers tab Active-column assumption (days), cascades with the live Drivers!B6 scenario switch -- constant across every quarter within this vintage (not period-specific), since DSO/DIO/DPO are not part of any vintage's Driver Adjustment Log.</t>
        </is>
      </c>
    </row>
    <row r="222">
      <c r="A222" s="127" t="inlineStr">
        <is>
          <t>FY26 Q2</t>
        </is>
      </c>
      <c r="B222" s="127" t="inlineStr">
        <is>
          <t>FY2026 Approved AOP</t>
        </is>
      </c>
      <c r="C222" s="139" t="inlineStr">
        <is>
          <t>Base</t>
        </is>
      </c>
      <c r="D222" s="205" t="inlineStr">
        <is>
          <t>DPO</t>
        </is>
      </c>
      <c r="E222" s="190">
        <f>Drivers!G43</f>
        <v>115</v>
      </c>
      <c r="F222" s="206" t="inlineStr">
        <is>
          <t>Drivers!G43</t>
        </is>
      </c>
      <c r="G222" s="143" t="inlineStr">
        <is>
          <t>Drivers tab Active-column assumption (days), cascades with the live Drivers!B6 scenario switch -- constant across every quarter within this vintage (not period-specific), since DSO/DIO/DPO are not part of any vintage's Driver Adjustment Log.</t>
        </is>
      </c>
    </row>
    <row r="223">
      <c r="A223" s="127" t="inlineStr">
        <is>
          <t>FY26 Q3</t>
        </is>
      </c>
      <c r="B223" s="127" t="inlineStr">
        <is>
          <t>FY2026 Approved AOP</t>
        </is>
      </c>
      <c r="C223" s="139" t="inlineStr">
        <is>
          <t>Base</t>
        </is>
      </c>
      <c r="D223" s="205" t="inlineStr">
        <is>
          <t>Revenue</t>
        </is>
      </c>
      <c r="E223" s="146">
        <f>IS!N41</f>
        <v>98051.3695905925</v>
      </c>
      <c r="F223" s="206" t="inlineStr">
        <is>
          <t>IS!N41</t>
        </is>
      </c>
      <c r="G223" s="143" t="inlineStr"/>
    </row>
    <row r="224">
      <c r="A224" s="127" t="inlineStr">
        <is>
          <t>FY26 Q3</t>
        </is>
      </c>
      <c r="B224" s="127" t="inlineStr">
        <is>
          <t>FY2026 Approved AOP</t>
        </is>
      </c>
      <c r="C224" s="139" t="inlineStr">
        <is>
          <t>Base</t>
        </is>
      </c>
      <c r="D224" s="205" t="inlineStr">
        <is>
          <t>iPhone Revenue</t>
        </is>
      </c>
      <c r="E224" s="146">
        <f>IS!N35</f>
        <v>48313.6898267264</v>
      </c>
      <c r="F224" s="206" t="inlineStr">
        <is>
          <t>IS!N35</t>
        </is>
      </c>
      <c r="G224" s="143" t="inlineStr"/>
    </row>
    <row r="225">
      <c r="A225" s="127" t="inlineStr">
        <is>
          <t>FY26 Q3</t>
        </is>
      </c>
      <c r="B225" s="127" t="inlineStr">
        <is>
          <t>FY2026 Approved AOP</t>
        </is>
      </c>
      <c r="C225" s="139" t="inlineStr">
        <is>
          <t>Base</t>
        </is>
      </c>
      <c r="D225" s="205" t="inlineStr">
        <is>
          <t>Mac Revenue</t>
        </is>
      </c>
      <c r="E225" s="146">
        <f>IS!N36</f>
        <v>7961.74419645911</v>
      </c>
      <c r="F225" s="206" t="inlineStr">
        <is>
          <t>IS!N36</t>
        </is>
      </c>
      <c r="G225" s="143" t="inlineStr"/>
    </row>
    <row r="226">
      <c r="A226" s="127" t="inlineStr">
        <is>
          <t>FY26 Q3</t>
        </is>
      </c>
      <c r="B226" s="127" t="inlineStr">
        <is>
          <t>FY2026 Approved AOP</t>
        </is>
      </c>
      <c r="C226" s="139" t="inlineStr">
        <is>
          <t>Base</t>
        </is>
      </c>
      <c r="D226" s="205" t="inlineStr">
        <is>
          <t>iPad Revenue</t>
        </is>
      </c>
      <c r="E226" s="146">
        <f>IS!N37</f>
        <v>6396.52006445993</v>
      </c>
      <c r="F226" s="206" t="inlineStr">
        <is>
          <t>IS!N37</t>
        </is>
      </c>
      <c r="G226" s="143" t="inlineStr"/>
    </row>
    <row r="227">
      <c r="A227" s="127" t="inlineStr">
        <is>
          <t>FY26 Q3</t>
        </is>
      </c>
      <c r="B227" s="127" t="inlineStr">
        <is>
          <t>FY2026 Approved AOP</t>
        </is>
      </c>
      <c r="C227" s="139" t="inlineStr">
        <is>
          <t>Base</t>
        </is>
      </c>
      <c r="D227" s="205" t="inlineStr">
        <is>
          <t>Wearables Revenue</t>
        </is>
      </c>
      <c r="E227" s="146">
        <f>IS!N38</f>
        <v>7945.04137506028</v>
      </c>
      <c r="F227" s="206" t="inlineStr">
        <is>
          <t>IS!N38</t>
        </is>
      </c>
      <c r="G227" s="143" t="inlineStr"/>
    </row>
    <row r="228">
      <c r="A228" s="127" t="inlineStr">
        <is>
          <t>FY26 Q3</t>
        </is>
      </c>
      <c r="B228" s="127" t="inlineStr">
        <is>
          <t>FY2026 Approved AOP</t>
        </is>
      </c>
      <c r="C228" s="139" t="inlineStr">
        <is>
          <t>Base</t>
        </is>
      </c>
      <c r="D228" s="205" t="inlineStr">
        <is>
          <t>Services Revenue</t>
        </is>
      </c>
      <c r="E228" s="146">
        <f>IS!N40</f>
        <v>27434.3741278868</v>
      </c>
      <c r="F228" s="206" t="inlineStr">
        <is>
          <t>IS!N40</t>
        </is>
      </c>
      <c r="G228" s="143" t="inlineStr"/>
    </row>
    <row r="229">
      <c r="A229" s="127" t="inlineStr">
        <is>
          <t>FY26 Q3</t>
        </is>
      </c>
      <c r="B229" s="127" t="inlineStr">
        <is>
          <t>FY2026 Approved AOP</t>
        </is>
      </c>
      <c r="C229" s="139" t="inlineStr">
        <is>
          <t>Base</t>
        </is>
      </c>
      <c r="D229" s="205" t="inlineStr">
        <is>
          <t>Gross Margin $</t>
        </is>
      </c>
      <c r="E229" s="146">
        <f>IS!N44</f>
        <v>46841.2407877556</v>
      </c>
      <c r="F229" s="206" t="inlineStr">
        <is>
          <t>IS!N44</t>
        </is>
      </c>
      <c r="G229" s="143" t="inlineStr"/>
    </row>
    <row r="230">
      <c r="A230" s="127" t="inlineStr">
        <is>
          <t>FY26 Q3</t>
        </is>
      </c>
      <c r="B230" s="127" t="inlineStr">
        <is>
          <t>FY2026 Approved AOP</t>
        </is>
      </c>
      <c r="C230" s="139" t="inlineStr">
        <is>
          <t>Base</t>
        </is>
      </c>
      <c r="D230" s="205" t="inlineStr">
        <is>
          <t>Gross Margin %</t>
        </is>
      </c>
      <c r="E230" s="142">
        <f>IS!N45</f>
        <v>0.477721432993117</v>
      </c>
      <c r="F230" s="206" t="inlineStr">
        <is>
          <t>IS!N45</t>
        </is>
      </c>
      <c r="G230" s="143" t="inlineStr"/>
    </row>
    <row r="231">
      <c r="A231" s="127" t="inlineStr">
        <is>
          <t>FY26 Q3</t>
        </is>
      </c>
      <c r="B231" s="127" t="inlineStr">
        <is>
          <t>FY2026 Approved AOP</t>
        </is>
      </c>
      <c r="C231" s="139" t="inlineStr">
        <is>
          <t>Base</t>
        </is>
      </c>
      <c r="D231" s="205" t="inlineStr">
        <is>
          <t>Operating Income</t>
        </is>
      </c>
      <c r="E231" s="146">
        <f>IS!N49</f>
        <v>32231.5867187573</v>
      </c>
      <c r="F231" s="206" t="inlineStr">
        <is>
          <t>IS!N49</t>
        </is>
      </c>
      <c r="G231" s="143" t="inlineStr"/>
    </row>
    <row r="232">
      <c r="A232" s="127" t="inlineStr">
        <is>
          <t>FY26 Q3</t>
        </is>
      </c>
      <c r="B232" s="127" t="inlineStr">
        <is>
          <t>FY2026 Approved AOP</t>
        </is>
      </c>
      <c r="C232" s="139" t="inlineStr">
        <is>
          <t>Base</t>
        </is>
      </c>
      <c r="D232" s="205" t="inlineStr">
        <is>
          <t>Net Income</t>
        </is>
      </c>
      <c r="E232" s="146">
        <f>IS!N53</f>
        <v>27074.5328437562</v>
      </c>
      <c r="F232" s="206" t="inlineStr">
        <is>
          <t>IS!N53</t>
        </is>
      </c>
      <c r="G232" s="143" t="inlineStr"/>
    </row>
    <row r="233">
      <c r="A233" s="127" t="inlineStr">
        <is>
          <t>FY26 Q3</t>
        </is>
      </c>
      <c r="B233" s="127" t="inlineStr">
        <is>
          <t>FY2026 Approved AOP</t>
        </is>
      </c>
      <c r="C233" s="139" t="inlineStr">
        <is>
          <t>Base</t>
        </is>
      </c>
      <c r="D233" s="205" t="inlineStr">
        <is>
          <t>EPS</t>
        </is>
      </c>
      <c r="E233" s="148">
        <f>IS!N57</f>
        <v>1.83987460328453</v>
      </c>
      <c r="F233" s="206" t="inlineStr">
        <is>
          <t>IS!N57</t>
        </is>
      </c>
      <c r="G233" s="143" t="inlineStr"/>
    </row>
    <row r="234">
      <c r="A234" s="127" t="inlineStr">
        <is>
          <t>FY26 Q3</t>
        </is>
      </c>
      <c r="B234" s="127" t="inlineStr">
        <is>
          <t>FY2026 Approved AOP</t>
        </is>
      </c>
      <c r="C234" s="139" t="inlineStr">
        <is>
          <t>Base</t>
        </is>
      </c>
      <c r="D234" s="205" t="inlineStr">
        <is>
          <t>FCF</t>
        </is>
      </c>
      <c r="E234" s="146">
        <f>CF!N32</f>
        <v>26154.9020634087</v>
      </c>
      <c r="F234" s="206" t="inlineStr">
        <is>
          <t>CF!N32</t>
        </is>
      </c>
      <c r="G234" s="143" t="inlineStr"/>
    </row>
    <row r="235">
      <c r="A235" s="127" t="inlineStr">
        <is>
          <t>FY26 Q3</t>
        </is>
      </c>
      <c r="B235" s="127" t="inlineStr">
        <is>
          <t>FY2026 Approved AOP</t>
        </is>
      </c>
      <c r="C235" s="139" t="inlineStr">
        <is>
          <t>Base</t>
        </is>
      </c>
      <c r="D235" s="205" t="inlineStr">
        <is>
          <t>Cash</t>
        </is>
      </c>
      <c r="E235" s="146">
        <f>BS!N9</f>
        <v>31259.7469684391</v>
      </c>
      <c r="F235" s="206" t="inlineStr">
        <is>
          <t>BS!N9</t>
        </is>
      </c>
      <c r="G235" s="143" t="inlineStr"/>
    </row>
    <row r="236">
      <c r="A236" s="127" t="inlineStr">
        <is>
          <t>FY26 Q3</t>
        </is>
      </c>
      <c r="B236" s="127" t="inlineStr">
        <is>
          <t>FY2026 Approved AOP</t>
        </is>
      </c>
      <c r="C236" s="139" t="inlineStr">
        <is>
          <t>Base</t>
        </is>
      </c>
      <c r="D236" s="205" t="inlineStr">
        <is>
          <t>R&amp;D $</t>
        </is>
      </c>
      <c r="E236" s="146">
        <f>IS!N47</f>
        <v>8138.26367601917</v>
      </c>
      <c r="F236" s="206" t="inlineStr">
        <is>
          <t>IS!N47</t>
        </is>
      </c>
      <c r="G236" s="143" t="inlineStr"/>
    </row>
    <row r="237">
      <c r="A237" s="127" t="inlineStr">
        <is>
          <t>FY26 Q3</t>
        </is>
      </c>
      <c r="B237" s="127" t="inlineStr">
        <is>
          <t>FY2026 Approved AOP</t>
        </is>
      </c>
      <c r="C237" s="139" t="inlineStr">
        <is>
          <t>Base</t>
        </is>
      </c>
      <c r="D237" s="205" t="inlineStr">
        <is>
          <t>SG&amp;A $</t>
        </is>
      </c>
      <c r="E237" s="146">
        <f>IS!N48</f>
        <v>6471.3903929791</v>
      </c>
      <c r="F237" s="206" t="inlineStr">
        <is>
          <t>IS!N48</t>
        </is>
      </c>
      <c r="G237" s="143" t="inlineStr"/>
    </row>
    <row r="238">
      <c r="A238" s="127" t="inlineStr">
        <is>
          <t>FY26 Q3</t>
        </is>
      </c>
      <c r="B238" s="127" t="inlineStr">
        <is>
          <t>FY2026 Approved AOP</t>
        </is>
      </c>
      <c r="C238" s="139" t="inlineStr">
        <is>
          <t>Base</t>
        </is>
      </c>
      <c r="D238" s="205" t="inlineStr">
        <is>
          <t>Operating Margin %</t>
        </is>
      </c>
      <c r="E238" s="142">
        <f>IS!N50</f>
        <v>0.328721432993118</v>
      </c>
      <c r="F238" s="206" t="inlineStr">
        <is>
          <t>IS!N50</t>
        </is>
      </c>
      <c r="G238" s="143" t="inlineStr"/>
    </row>
    <row r="239">
      <c r="A239" s="127" t="inlineStr">
        <is>
          <t>FY26 Q3</t>
        </is>
      </c>
      <c r="B239" s="127" t="inlineStr">
        <is>
          <t>FY2026 Approved AOP</t>
        </is>
      </c>
      <c r="C239" s="139" t="inlineStr">
        <is>
          <t>Base</t>
        </is>
      </c>
      <c r="D239" s="205" t="inlineStr">
        <is>
          <t>AR $</t>
        </is>
      </c>
      <c r="E239" s="146">
        <f>BS!N11</f>
        <v>35952.1688498839</v>
      </c>
      <c r="F239" s="206" t="inlineStr">
        <is>
          <t>BS!N11</t>
        </is>
      </c>
      <c r="G239" s="143" t="inlineStr"/>
    </row>
    <row r="240">
      <c r="A240" s="127" t="inlineStr">
        <is>
          <t>FY26 Q3</t>
        </is>
      </c>
      <c r="B240" s="127" t="inlineStr">
        <is>
          <t>FY2026 Approved AOP</t>
        </is>
      </c>
      <c r="C240" s="139" t="inlineStr">
        <is>
          <t>Base</t>
        </is>
      </c>
      <c r="D240" s="205" t="inlineStr">
        <is>
          <t>Inventory $</t>
        </is>
      </c>
      <c r="E240" s="146">
        <f>BS!N13</f>
        <v>5690.01431142632</v>
      </c>
      <c r="F240" s="206" t="inlineStr">
        <is>
          <t>BS!N13</t>
        </is>
      </c>
      <c r="G240" s="143" t="inlineStr"/>
    </row>
    <row r="241">
      <c r="A241" s="127" t="inlineStr">
        <is>
          <t>FY26 Q3</t>
        </is>
      </c>
      <c r="B241" s="127" t="inlineStr">
        <is>
          <t>FY2026 Approved AOP</t>
        </is>
      </c>
      <c r="C241" s="139" t="inlineStr">
        <is>
          <t>Base</t>
        </is>
      </c>
      <c r="D241" s="205" t="inlineStr">
        <is>
          <t>AP $</t>
        </is>
      </c>
      <c r="E241" s="146">
        <f>BS!N22</f>
        <v>65435.1645814026</v>
      </c>
      <c r="F241" s="206" t="inlineStr">
        <is>
          <t>BS!N22</t>
        </is>
      </c>
      <c r="G241" s="143" t="inlineStr"/>
    </row>
    <row r="242">
      <c r="A242" s="127" t="inlineStr">
        <is>
          <t>FY26 Q3</t>
        </is>
      </c>
      <c r="B242" s="127" t="inlineStr">
        <is>
          <t>FY2026 Approved AOP</t>
        </is>
      </c>
      <c r="C242" s="139" t="inlineStr">
        <is>
          <t>Base</t>
        </is>
      </c>
      <c r="D242" s="205" t="inlineStr">
        <is>
          <t>CapEx $</t>
        </is>
      </c>
      <c r="E242" s="146">
        <f>CF!N22</f>
        <v>-2941.54108771777</v>
      </c>
      <c r="F242" s="206" t="inlineStr">
        <is>
          <t>CF!N22</t>
        </is>
      </c>
      <c r="G242" s="143" t="inlineStr"/>
    </row>
    <row r="243">
      <c r="A243" s="127" t="inlineStr">
        <is>
          <t>FY26 Q3</t>
        </is>
      </c>
      <c r="B243" s="127" t="inlineStr">
        <is>
          <t>FY2026 Approved AOP</t>
        </is>
      </c>
      <c r="C243" s="139" t="inlineStr">
        <is>
          <t>Base</t>
        </is>
      </c>
      <c r="D243" s="205" t="inlineStr">
        <is>
          <t>Buyback $</t>
        </is>
      </c>
      <c r="E243" s="146">
        <f>CF!N25</f>
        <v>-23539.4118570678</v>
      </c>
      <c r="F243" s="206" t="inlineStr">
        <is>
          <t>CF!N25</t>
        </is>
      </c>
      <c r="G243" s="143" t="inlineStr"/>
    </row>
    <row r="244">
      <c r="A244" s="127" t="inlineStr">
        <is>
          <t>FY26 Q3</t>
        </is>
      </c>
      <c r="B244" s="127" t="inlineStr">
        <is>
          <t>FY2026 Approved AOP</t>
        </is>
      </c>
      <c r="C244" s="139" t="inlineStr">
        <is>
          <t>Base</t>
        </is>
      </c>
      <c r="D244" s="205" t="inlineStr">
        <is>
          <t>Dividend $</t>
        </is>
      </c>
      <c r="E244" s="146">
        <f>CF!N26</f>
        <v>-4061.17992656342</v>
      </c>
      <c r="F244" s="206" t="inlineStr">
        <is>
          <t>CF!N26</t>
        </is>
      </c>
      <c r="G244" s="143" t="inlineStr"/>
    </row>
    <row r="245">
      <c r="A245" s="127" t="inlineStr">
        <is>
          <t>FY26 Q3</t>
        </is>
      </c>
      <c r="B245" s="127" t="inlineStr">
        <is>
          <t>FY2026 Approved AOP</t>
        </is>
      </c>
      <c r="C245" s="139" t="inlineStr">
        <is>
          <t>Base</t>
        </is>
      </c>
      <c r="D245" s="205" t="inlineStr">
        <is>
          <t>Total Assets $</t>
        </is>
      </c>
      <c r="E245" s="146">
        <f>BS!N20</f>
        <v>350951.046510246</v>
      </c>
      <c r="F245" s="206" t="inlineStr">
        <is>
          <t>BS!N20</t>
        </is>
      </c>
      <c r="G245" s="143" t="inlineStr"/>
    </row>
    <row r="246">
      <c r="A246" s="127" t="inlineStr">
        <is>
          <t>FY26 Q3</t>
        </is>
      </c>
      <c r="B246" s="127" t="inlineStr">
        <is>
          <t>FY2026 Approved AOP</t>
        </is>
      </c>
      <c r="C246" s="139" t="inlineStr">
        <is>
          <t>Base</t>
        </is>
      </c>
      <c r="D246" s="205" t="inlineStr">
        <is>
          <t>Total Liabilities $</t>
        </is>
      </c>
      <c r="E246" s="146">
        <f>BS!N31</f>
        <v>281083.164581403</v>
      </c>
      <c r="F246" s="206" t="inlineStr">
        <is>
          <t>BS!N31</t>
        </is>
      </c>
      <c r="G246" s="143" t="inlineStr"/>
    </row>
    <row r="247">
      <c r="A247" s="127" t="inlineStr">
        <is>
          <t>FY26 Q3</t>
        </is>
      </c>
      <c r="B247" s="127" t="inlineStr">
        <is>
          <t>FY2026 Approved AOP</t>
        </is>
      </c>
      <c r="C247" s="139" t="inlineStr">
        <is>
          <t>Base</t>
        </is>
      </c>
      <c r="D247" s="205" t="inlineStr">
        <is>
          <t>Total Equity $</t>
        </is>
      </c>
      <c r="E247" s="146">
        <f>BS!N36</f>
        <v>69867.8819288429</v>
      </c>
      <c r="F247" s="206" t="inlineStr">
        <is>
          <t>BS!N36</t>
        </is>
      </c>
      <c r="G247" s="143" t="inlineStr"/>
    </row>
    <row r="248">
      <c r="A248" s="127" t="inlineStr">
        <is>
          <t>FY26 Q3</t>
        </is>
      </c>
      <c r="B248" s="127" t="inlineStr">
        <is>
          <t>FY2026 Approved AOP</t>
        </is>
      </c>
      <c r="C248" s="139" t="inlineStr">
        <is>
          <t>Base</t>
        </is>
      </c>
      <c r="D248" s="205" t="inlineStr">
        <is>
          <t>DSO</t>
        </is>
      </c>
      <c r="E248" s="190">
        <f>Drivers!G41</f>
        <v>33</v>
      </c>
      <c r="F248" s="206" t="inlineStr">
        <is>
          <t>Drivers!G41</t>
        </is>
      </c>
      <c r="G248" s="143" t="inlineStr">
        <is>
          <t>Drivers tab Active-column assumption (days), cascades with the live Drivers!B6 scenario switch -- constant across every quarter within this vintage (not period-specific), since DSO/DIO/DPO are not part of any vintage's Driver Adjustment Log.</t>
        </is>
      </c>
    </row>
    <row r="249">
      <c r="A249" s="127" t="inlineStr">
        <is>
          <t>FY26 Q3</t>
        </is>
      </c>
      <c r="B249" s="127" t="inlineStr">
        <is>
          <t>FY2026 Approved AOP</t>
        </is>
      </c>
      <c r="C249" s="139" t="inlineStr">
        <is>
          <t>Base</t>
        </is>
      </c>
      <c r="D249" s="205" t="inlineStr">
        <is>
          <t>DIO</t>
        </is>
      </c>
      <c r="E249" s="190">
        <f>Drivers!G42</f>
        <v>10</v>
      </c>
      <c r="F249" s="206" t="inlineStr">
        <is>
          <t>Drivers!G42</t>
        </is>
      </c>
      <c r="G249" s="143" t="inlineStr">
        <is>
          <t>Drivers tab Active-column assumption (days), cascades with the live Drivers!B6 scenario switch -- constant across every quarter within this vintage (not period-specific), since DSO/DIO/DPO are not part of any vintage's Driver Adjustment Log.</t>
        </is>
      </c>
    </row>
    <row r="250">
      <c r="A250" s="127" t="inlineStr">
        <is>
          <t>FY26 Q3</t>
        </is>
      </c>
      <c r="B250" s="127" t="inlineStr">
        <is>
          <t>FY2026 Approved AOP</t>
        </is>
      </c>
      <c r="C250" s="139" t="inlineStr">
        <is>
          <t>Base</t>
        </is>
      </c>
      <c r="D250" s="205" t="inlineStr">
        <is>
          <t>DPO</t>
        </is>
      </c>
      <c r="E250" s="190">
        <f>Drivers!G43</f>
        <v>115</v>
      </c>
      <c r="F250" s="206" t="inlineStr">
        <is>
          <t>Drivers!G43</t>
        </is>
      </c>
      <c r="G250" s="143" t="inlineStr">
        <is>
          <t>Drivers tab Active-column assumption (days), cascades with the live Drivers!B6 scenario switch -- constant across every quarter within this vintage (not period-specific), since DSO/DIO/DPO are not part of any vintage's Driver Adjustment Log.</t>
        </is>
      </c>
    </row>
    <row r="251">
      <c r="A251" s="127" t="inlineStr">
        <is>
          <t>FY26 Q4</t>
        </is>
      </c>
      <c r="B251" s="127" t="inlineStr">
        <is>
          <t>FY2026 Approved AOP</t>
        </is>
      </c>
      <c r="C251" s="139" t="inlineStr">
        <is>
          <t>Base</t>
        </is>
      </c>
      <c r="D251" s="205" t="inlineStr">
        <is>
          <t>Revenue</t>
        </is>
      </c>
      <c r="E251" s="146">
        <f>IS!O41</f>
        <v>107665.3322833</v>
      </c>
      <c r="F251" s="206" t="inlineStr">
        <is>
          <t>IS!O41</t>
        </is>
      </c>
      <c r="G251" s="143" t="inlineStr"/>
    </row>
    <row r="252">
      <c r="A252" s="127" t="inlineStr">
        <is>
          <t>FY26 Q4</t>
        </is>
      </c>
      <c r="B252" s="127" t="inlineStr">
        <is>
          <t>FY2026 Approved AOP</t>
        </is>
      </c>
      <c r="C252" s="139" t="inlineStr">
        <is>
          <t>Base</t>
        </is>
      </c>
      <c r="D252" s="205" t="inlineStr">
        <is>
          <t>iPhone Revenue</t>
        </is>
      </c>
      <c r="E252" s="146">
        <f>IS!O35</f>
        <v>53050.8598783087</v>
      </c>
      <c r="F252" s="206" t="inlineStr">
        <is>
          <t>IS!O35</t>
        </is>
      </c>
      <c r="G252" s="143" t="inlineStr"/>
    </row>
    <row r="253">
      <c r="A253" s="127" t="inlineStr">
        <is>
          <t>FY26 Q4</t>
        </is>
      </c>
      <c r="B253" s="127" t="inlineStr">
        <is>
          <t>FY2026 Approved AOP</t>
        </is>
      </c>
      <c r="C253" s="139" t="inlineStr">
        <is>
          <t>Base</t>
        </is>
      </c>
      <c r="D253" s="205" t="inlineStr">
        <is>
          <t>Mac Revenue</t>
        </is>
      </c>
      <c r="E253" s="146">
        <f>IS!O36</f>
        <v>8742.39531834799</v>
      </c>
      <c r="F253" s="206" t="inlineStr">
        <is>
          <t>IS!O36</t>
        </is>
      </c>
      <c r="G253" s="143" t="inlineStr"/>
    </row>
    <row r="254">
      <c r="A254" s="127" t="inlineStr">
        <is>
          <t>FY26 Q4</t>
        </is>
      </c>
      <c r="B254" s="127" t="inlineStr">
        <is>
          <t>FY2026 Approved AOP</t>
        </is>
      </c>
      <c r="C254" s="139" t="inlineStr">
        <is>
          <t>Base</t>
        </is>
      </c>
      <c r="D254" s="205" t="inlineStr">
        <is>
          <t>iPad Revenue</t>
        </is>
      </c>
      <c r="E254" s="146">
        <f>IS!O37</f>
        <v>7023.7005466872</v>
      </c>
      <c r="F254" s="206" t="inlineStr">
        <is>
          <t>IS!O37</t>
        </is>
      </c>
      <c r="G254" s="143" t="inlineStr"/>
    </row>
    <row r="255">
      <c r="A255" s="127" t="inlineStr">
        <is>
          <t>FY26 Q4</t>
        </is>
      </c>
      <c r="B255" s="127" t="inlineStr">
        <is>
          <t>FY2026 Approved AOP</t>
        </is>
      </c>
      <c r="C255" s="139" t="inlineStr">
        <is>
          <t>Base</t>
        </is>
      </c>
      <c r="D255" s="205" t="inlineStr">
        <is>
          <t>Wearables Revenue</t>
        </is>
      </c>
      <c r="E255" s="146">
        <f>IS!O38</f>
        <v>8724.05478089826</v>
      </c>
      <c r="F255" s="206" t="inlineStr">
        <is>
          <t>IS!O38</t>
        </is>
      </c>
      <c r="G255" s="143" t="inlineStr"/>
    </row>
    <row r="256">
      <c r="A256" s="127" t="inlineStr">
        <is>
          <t>FY26 Q4</t>
        </is>
      </c>
      <c r="B256" s="127" t="inlineStr">
        <is>
          <t>FY2026 Approved AOP</t>
        </is>
      </c>
      <c r="C256" s="139" t="inlineStr">
        <is>
          <t>Base</t>
        </is>
      </c>
      <c r="D256" s="205" t="inlineStr">
        <is>
          <t>Services Revenue</t>
        </is>
      </c>
      <c r="E256" s="146">
        <f>IS!O40</f>
        <v>30124.3217590577</v>
      </c>
      <c r="F256" s="206" t="inlineStr">
        <is>
          <t>IS!O40</t>
        </is>
      </c>
      <c r="G256" s="143" t="inlineStr"/>
    </row>
    <row r="257">
      <c r="A257" s="127" t="inlineStr">
        <is>
          <t>FY26 Q4</t>
        </is>
      </c>
      <c r="B257" s="127" t="inlineStr">
        <is>
          <t>FY2026 Approved AOP</t>
        </is>
      </c>
      <c r="C257" s="139" t="inlineStr">
        <is>
          <t>Base</t>
        </is>
      </c>
      <c r="D257" s="205" t="inlineStr">
        <is>
          <t>Gross Margin $</t>
        </is>
      </c>
      <c r="E257" s="146">
        <f>IS!O44</f>
        <v>51434.0368220581</v>
      </c>
      <c r="F257" s="206" t="inlineStr">
        <is>
          <t>IS!O44</t>
        </is>
      </c>
      <c r="G257" s="143" t="inlineStr"/>
    </row>
    <row r="258">
      <c r="A258" s="127" t="inlineStr">
        <is>
          <t>FY26 Q4</t>
        </is>
      </c>
      <c r="B258" s="127" t="inlineStr">
        <is>
          <t>FY2026 Approved AOP</t>
        </is>
      </c>
      <c r="C258" s="139" t="inlineStr">
        <is>
          <t>Base</t>
        </is>
      </c>
      <c r="D258" s="205" t="inlineStr">
        <is>
          <t>Gross Margin %</t>
        </is>
      </c>
      <c r="E258" s="142">
        <f>IS!O45</f>
        <v>0.477721432993118</v>
      </c>
      <c r="F258" s="206" t="inlineStr">
        <is>
          <t>IS!O45</t>
        </is>
      </c>
      <c r="G258" s="143" t="inlineStr"/>
    </row>
    <row r="259">
      <c r="A259" s="127" t="inlineStr">
        <is>
          <t>FY26 Q4</t>
        </is>
      </c>
      <c r="B259" s="127" t="inlineStr">
        <is>
          <t>FY2026 Approved AOP</t>
        </is>
      </c>
      <c r="C259" s="139" t="inlineStr">
        <is>
          <t>Base</t>
        </is>
      </c>
      <c r="D259" s="205" t="inlineStr">
        <is>
          <t>Operating Income</t>
        </is>
      </c>
      <c r="E259" s="146">
        <f>IS!O49</f>
        <v>35391.9023118465</v>
      </c>
      <c r="F259" s="206" t="inlineStr">
        <is>
          <t>IS!O49</t>
        </is>
      </c>
      <c r="G259" s="143" t="inlineStr"/>
    </row>
    <row r="260">
      <c r="A260" s="127" t="inlineStr">
        <is>
          <t>FY26 Q4</t>
        </is>
      </c>
      <c r="B260" s="127" t="inlineStr">
        <is>
          <t>FY2026 Approved AOP</t>
        </is>
      </c>
      <c r="C260" s="139" t="inlineStr">
        <is>
          <t>Base</t>
        </is>
      </c>
      <c r="D260" s="205" t="inlineStr">
        <is>
          <t>Net Income</t>
        </is>
      </c>
      <c r="E260" s="146">
        <f>IS!O53</f>
        <v>29729.197941951</v>
      </c>
      <c r="F260" s="206" t="inlineStr">
        <is>
          <t>IS!O53</t>
        </is>
      </c>
      <c r="G260" s="143" t="inlineStr"/>
    </row>
    <row r="261">
      <c r="A261" s="127" t="inlineStr">
        <is>
          <t>FY26 Q4</t>
        </is>
      </c>
      <c r="B261" s="127" t="inlineStr">
        <is>
          <t>FY2026 Approved AOP</t>
        </is>
      </c>
      <c r="C261" s="139" t="inlineStr">
        <is>
          <t>Base</t>
        </is>
      </c>
      <c r="D261" s="205" t="inlineStr">
        <is>
          <t>EPS</t>
        </is>
      </c>
      <c r="E261" s="148">
        <f>IS!O57</f>
        <v>2.02027479421602</v>
      </c>
      <c r="F261" s="206" t="inlineStr">
        <is>
          <t>IS!O57</t>
        </is>
      </c>
      <c r="G261" s="143" t="inlineStr"/>
    </row>
    <row r="262">
      <c r="A262" s="127" t="inlineStr">
        <is>
          <t>FY26 Q4</t>
        </is>
      </c>
      <c r="B262" s="127" t="inlineStr">
        <is>
          <t>FY2026 Approved AOP</t>
        </is>
      </c>
      <c r="C262" s="139" t="inlineStr">
        <is>
          <t>Base</t>
        </is>
      </c>
      <c r="D262" s="205" t="inlineStr">
        <is>
          <t>FCF</t>
        </is>
      </c>
      <c r="E262" s="146">
        <f>CF!O32</f>
        <v>31985.3723446381</v>
      </c>
      <c r="F262" s="206" t="inlineStr">
        <is>
          <t>CF!O32</t>
        </is>
      </c>
      <c r="G262" s="143" t="inlineStr"/>
    </row>
    <row r="263">
      <c r="A263" s="127" t="inlineStr">
        <is>
          <t>FY26 Q4</t>
        </is>
      </c>
      <c r="B263" s="127" t="inlineStr">
        <is>
          <t>FY2026 Approved AOP</t>
        </is>
      </c>
      <c r="C263" s="139" t="inlineStr">
        <is>
          <t>Base</t>
        </is>
      </c>
      <c r="D263" s="205" t="inlineStr">
        <is>
          <t>Cash</t>
        </is>
      </c>
      <c r="E263" s="146">
        <f>BS!O9</f>
        <v>29998.9045116102</v>
      </c>
      <c r="F263" s="206" t="inlineStr">
        <is>
          <t>BS!O9</t>
        </is>
      </c>
      <c r="G263" s="143" t="inlineStr"/>
    </row>
    <row r="264">
      <c r="A264" s="127" t="inlineStr">
        <is>
          <t>FY26 Q4</t>
        </is>
      </c>
      <c r="B264" s="127" t="inlineStr">
        <is>
          <t>FY2026 Approved AOP</t>
        </is>
      </c>
      <c r="C264" s="139" t="inlineStr">
        <is>
          <t>Base</t>
        </is>
      </c>
      <c r="D264" s="205" t="inlineStr">
        <is>
          <t>R&amp;D $</t>
        </is>
      </c>
      <c r="E264" s="146">
        <f>IS!O47</f>
        <v>8936.22257951388</v>
      </c>
      <c r="F264" s="206" t="inlineStr">
        <is>
          <t>IS!O47</t>
        </is>
      </c>
      <c r="G264" s="143" t="inlineStr"/>
    </row>
    <row r="265">
      <c r="A265" s="127" t="inlineStr">
        <is>
          <t>FY26 Q4</t>
        </is>
      </c>
      <c r="B265" s="127" t="inlineStr">
        <is>
          <t>FY2026 Approved AOP</t>
        </is>
      </c>
      <c r="C265" s="139" t="inlineStr">
        <is>
          <t>Base</t>
        </is>
      </c>
      <c r="D265" s="205" t="inlineStr">
        <is>
          <t>SG&amp;A $</t>
        </is>
      </c>
      <c r="E265" s="146">
        <f>IS!O48</f>
        <v>7105.91193069779</v>
      </c>
      <c r="F265" s="206" t="inlineStr">
        <is>
          <t>IS!O48</t>
        </is>
      </c>
      <c r="G265" s="143" t="inlineStr"/>
    </row>
    <row r="266">
      <c r="A266" s="127" t="inlineStr">
        <is>
          <t>FY26 Q4</t>
        </is>
      </c>
      <c r="B266" s="127" t="inlineStr">
        <is>
          <t>FY2026 Approved AOP</t>
        </is>
      </c>
      <c r="C266" s="139" t="inlineStr">
        <is>
          <t>Base</t>
        </is>
      </c>
      <c r="D266" s="205" t="inlineStr">
        <is>
          <t>Operating Margin %</t>
        </is>
      </c>
      <c r="E266" s="142">
        <f>IS!O50</f>
        <v>0.328721432993117</v>
      </c>
      <c r="F266" s="206" t="inlineStr">
        <is>
          <t>IS!O50</t>
        </is>
      </c>
      <c r="G266" s="143" t="inlineStr"/>
    </row>
    <row r="267">
      <c r="A267" s="127" t="inlineStr">
        <is>
          <t>FY26 Q4</t>
        </is>
      </c>
      <c r="B267" s="127" t="inlineStr">
        <is>
          <t>FY2026 Approved AOP</t>
        </is>
      </c>
      <c r="C267" s="139" t="inlineStr">
        <is>
          <t>Base</t>
        </is>
      </c>
      <c r="D267" s="205" t="inlineStr">
        <is>
          <t>AR $</t>
        </is>
      </c>
      <c r="E267" s="146">
        <f>BS!O11</f>
        <v>39477.2885038766</v>
      </c>
      <c r="F267" s="206" t="inlineStr">
        <is>
          <t>BS!O11</t>
        </is>
      </c>
      <c r="G267" s="143" t="inlineStr"/>
    </row>
    <row r="268">
      <c r="A268" s="127" t="inlineStr">
        <is>
          <t>FY26 Q4</t>
        </is>
      </c>
      <c r="B268" s="127" t="inlineStr">
        <is>
          <t>FY2026 Approved AOP</t>
        </is>
      </c>
      <c r="C268" s="139" t="inlineStr">
        <is>
          <t>Base</t>
        </is>
      </c>
      <c r="D268" s="205" t="inlineStr">
        <is>
          <t>Inventory $</t>
        </is>
      </c>
      <c r="E268" s="146">
        <f>BS!O13</f>
        <v>6247.92171791574</v>
      </c>
      <c r="F268" s="206" t="inlineStr">
        <is>
          <t>BS!O13</t>
        </is>
      </c>
      <c r="G268" s="143" t="inlineStr"/>
    </row>
    <row r="269">
      <c r="A269" s="127" t="inlineStr">
        <is>
          <t>FY26 Q4</t>
        </is>
      </c>
      <c r="B269" s="127" t="inlineStr">
        <is>
          <t>FY2026 Approved AOP</t>
        </is>
      </c>
      <c r="C269" s="139" t="inlineStr">
        <is>
          <t>Base</t>
        </is>
      </c>
      <c r="D269" s="205" t="inlineStr">
        <is>
          <t>AP $</t>
        </is>
      </c>
      <c r="E269" s="146">
        <f>BS!O22</f>
        <v>71851.099756031</v>
      </c>
      <c r="F269" s="206" t="inlineStr">
        <is>
          <t>BS!O22</t>
        </is>
      </c>
      <c r="G269" s="143" t="inlineStr"/>
    </row>
    <row r="270">
      <c r="A270" s="127" t="inlineStr">
        <is>
          <t>FY26 Q4</t>
        </is>
      </c>
      <c r="B270" s="127" t="inlineStr">
        <is>
          <t>FY2026 Approved AOP</t>
        </is>
      </c>
      <c r="C270" s="139" t="inlineStr">
        <is>
          <t>Base</t>
        </is>
      </c>
      <c r="D270" s="205" t="inlineStr">
        <is>
          <t>CapEx $</t>
        </is>
      </c>
      <c r="E270" s="146">
        <f>CF!O22</f>
        <v>-3229.95996849899</v>
      </c>
      <c r="F270" s="206" t="inlineStr">
        <is>
          <t>CF!O22</t>
        </is>
      </c>
      <c r="G270" s="143" t="inlineStr"/>
    </row>
    <row r="271">
      <c r="A271" s="127" t="inlineStr">
        <is>
          <t>FY26 Q4</t>
        </is>
      </c>
      <c r="B271" s="127" t="inlineStr">
        <is>
          <t>FY2026 Approved AOP</t>
        </is>
      </c>
      <c r="C271" s="139" t="inlineStr">
        <is>
          <t>Base</t>
        </is>
      </c>
      <c r="D271" s="205" t="inlineStr">
        <is>
          <t>Buyback $</t>
        </is>
      </c>
      <c r="E271" s="146">
        <f>CF!O25</f>
        <v>-28786.8351101743</v>
      </c>
      <c r="F271" s="206" t="inlineStr">
        <is>
          <t>CF!O25</t>
        </is>
      </c>
      <c r="G271" s="143" t="inlineStr"/>
    </row>
    <row r="272">
      <c r="A272" s="127" t="inlineStr">
        <is>
          <t>FY26 Q4</t>
        </is>
      </c>
      <c r="B272" s="127" t="inlineStr">
        <is>
          <t>FY2026 Approved AOP</t>
        </is>
      </c>
      <c r="C272" s="139" t="inlineStr">
        <is>
          <t>Base</t>
        </is>
      </c>
      <c r="D272" s="205" t="inlineStr">
        <is>
          <t>Dividend $</t>
        </is>
      </c>
      <c r="E272" s="146">
        <f>CF!O26</f>
        <v>-4459.37969129265</v>
      </c>
      <c r="F272" s="206" t="inlineStr">
        <is>
          <t>CF!O26</t>
        </is>
      </c>
      <c r="G272" s="143" t="inlineStr"/>
    </row>
    <row r="273">
      <c r="A273" s="127" t="inlineStr">
        <is>
          <t>FY26 Q4</t>
        </is>
      </c>
      <c r="B273" s="127" t="inlineStr">
        <is>
          <t>FY2026 Approved AOP</t>
        </is>
      </c>
      <c r="C273" s="139" t="inlineStr">
        <is>
          <t>Base</t>
        </is>
      </c>
      <c r="D273" s="205" t="inlineStr">
        <is>
          <t>Total Assets $</t>
        </is>
      </c>
      <c r="E273" s="146">
        <f>BS!O20</f>
        <v>353849.964825358</v>
      </c>
      <c r="F273" s="206" t="inlineStr">
        <is>
          <t>BS!O20</t>
        </is>
      </c>
      <c r="G273" s="143" t="inlineStr"/>
    </row>
    <row r="274">
      <c r="A274" s="127" t="inlineStr">
        <is>
          <t>FY26 Q4</t>
        </is>
      </c>
      <c r="B274" s="127" t="inlineStr">
        <is>
          <t>FY2026 Approved AOP</t>
        </is>
      </c>
      <c r="C274" s="139" t="inlineStr">
        <is>
          <t>Base</t>
        </is>
      </c>
      <c r="D274" s="205" t="inlineStr">
        <is>
          <t>Total Liabilities $</t>
        </is>
      </c>
      <c r="E274" s="146">
        <f>BS!O31</f>
        <v>287499.099756031</v>
      </c>
      <c r="F274" s="206" t="inlineStr">
        <is>
          <t>BS!O31</t>
        </is>
      </c>
      <c r="G274" s="143" t="inlineStr"/>
    </row>
    <row r="275">
      <c r="A275" s="127" t="inlineStr">
        <is>
          <t>FY26 Q4</t>
        </is>
      </c>
      <c r="B275" s="127" t="inlineStr">
        <is>
          <t>FY2026 Approved AOP</t>
        </is>
      </c>
      <c r="C275" s="139" t="inlineStr">
        <is>
          <t>Base</t>
        </is>
      </c>
      <c r="D275" s="205" t="inlineStr">
        <is>
          <t>Total Equity $</t>
        </is>
      </c>
      <c r="E275" s="146">
        <f>BS!O36</f>
        <v>66350.865069327</v>
      </c>
      <c r="F275" s="206" t="inlineStr">
        <is>
          <t>BS!O36</t>
        </is>
      </c>
      <c r="G275" s="143" t="inlineStr"/>
    </row>
    <row r="276">
      <c r="A276" s="127" t="inlineStr">
        <is>
          <t>FY26 Q4</t>
        </is>
      </c>
      <c r="B276" s="127" t="inlineStr">
        <is>
          <t>FY2026 Approved AOP</t>
        </is>
      </c>
      <c r="C276" s="139" t="inlineStr">
        <is>
          <t>Base</t>
        </is>
      </c>
      <c r="D276" s="205" t="inlineStr">
        <is>
          <t>DSO</t>
        </is>
      </c>
      <c r="E276" s="190">
        <f>Drivers!G41</f>
        <v>33</v>
      </c>
      <c r="F276" s="206" t="inlineStr">
        <is>
          <t>Drivers!G41</t>
        </is>
      </c>
      <c r="G276" s="143" t="inlineStr">
        <is>
          <t>Drivers tab Active-column assumption (days), cascades with the live Drivers!B6 scenario switch -- constant across every quarter within this vintage (not period-specific), since DSO/DIO/DPO are not part of any vintage's Driver Adjustment Log.</t>
        </is>
      </c>
    </row>
    <row r="277">
      <c r="A277" s="127" t="inlineStr">
        <is>
          <t>FY26 Q4</t>
        </is>
      </c>
      <c r="B277" s="127" t="inlineStr">
        <is>
          <t>FY2026 Approved AOP</t>
        </is>
      </c>
      <c r="C277" s="139" t="inlineStr">
        <is>
          <t>Base</t>
        </is>
      </c>
      <c r="D277" s="205" t="inlineStr">
        <is>
          <t>DIO</t>
        </is>
      </c>
      <c r="E277" s="190">
        <f>Drivers!G42</f>
        <v>10</v>
      </c>
      <c r="F277" s="206" t="inlineStr">
        <is>
          <t>Drivers!G42</t>
        </is>
      </c>
      <c r="G277" s="143" t="inlineStr">
        <is>
          <t>Drivers tab Active-column assumption (days), cascades with the live Drivers!B6 scenario switch -- constant across every quarter within this vintage (not period-specific), since DSO/DIO/DPO are not part of any vintage's Driver Adjustment Log.</t>
        </is>
      </c>
    </row>
    <row r="278">
      <c r="A278" s="127" t="inlineStr">
        <is>
          <t>FY26 Q4</t>
        </is>
      </c>
      <c r="B278" s="127" t="inlineStr">
        <is>
          <t>FY2026 Approved AOP</t>
        </is>
      </c>
      <c r="C278" s="139" t="inlineStr">
        <is>
          <t>Base</t>
        </is>
      </c>
      <c r="D278" s="205" t="inlineStr">
        <is>
          <t>DPO</t>
        </is>
      </c>
      <c r="E278" s="190">
        <f>Drivers!G43</f>
        <v>115</v>
      </c>
      <c r="F278" s="206" t="inlineStr">
        <is>
          <t>Drivers!G43</t>
        </is>
      </c>
      <c r="G278" s="143" t="inlineStr">
        <is>
          <t>Drivers tab Active-column assumption (days), cascades with the live Drivers!B6 scenario switch -- constant across every quarter within this vintage (not period-specific), since DSO/DIO/DPO are not part of any vintage's Driver Adjustment Log.</t>
        </is>
      </c>
    </row>
    <row r="279">
      <c r="A279" s="127" t="inlineStr">
        <is>
          <t>FY26 Total</t>
        </is>
      </c>
      <c r="B279" s="127" t="inlineStr">
        <is>
          <t>FY2026 Approved AOP</t>
        </is>
      </c>
      <c r="C279" s="139" t="inlineStr">
        <is>
          <t>Base</t>
        </is>
      </c>
      <c r="D279" s="205" t="inlineStr">
        <is>
          <t>Revenue</t>
        </is>
      </c>
      <c r="E279" s="146">
        <f>IS!P41</f>
        <v>440364.13455</v>
      </c>
      <c r="F279" s="206" t="inlineStr">
        <is>
          <t>IS!P41</t>
        </is>
      </c>
      <c r="G279" s="143" t="inlineStr"/>
    </row>
    <row r="280">
      <c r="A280" s="127" t="inlineStr">
        <is>
          <t>FY26 Total</t>
        </is>
      </c>
      <c r="B280" s="127" t="inlineStr">
        <is>
          <t>FY2026 Approved AOP</t>
        </is>
      </c>
      <c r="C280" s="139" t="inlineStr">
        <is>
          <t>Base</t>
        </is>
      </c>
      <c r="D280" s="205" t="inlineStr">
        <is>
          <t>iPhone Revenue</t>
        </is>
      </c>
      <c r="E280" s="146">
        <f>IS!P35</f>
        <v>216984.3858</v>
      </c>
      <c r="F280" s="206" t="inlineStr">
        <is>
          <t>IS!P35</t>
        </is>
      </c>
      <c r="G280" s="143" t="inlineStr"/>
    </row>
    <row r="281">
      <c r="A281" s="127" t="inlineStr">
        <is>
          <t>FY26 Total</t>
        </is>
      </c>
      <c r="B281" s="127" t="inlineStr">
        <is>
          <t>FY2026 Approved AOP</t>
        </is>
      </c>
      <c r="C281" s="139" t="inlineStr">
        <is>
          <t>Base</t>
        </is>
      </c>
      <c r="D281" s="205" t="inlineStr">
        <is>
          <t>Mac Revenue</t>
        </is>
      </c>
      <c r="E281" s="146">
        <f>IS!P36</f>
        <v>35757.4464</v>
      </c>
      <c r="F281" s="206" t="inlineStr">
        <is>
          <t>IS!P36</t>
        </is>
      </c>
      <c r="G281" s="143" t="inlineStr"/>
    </row>
    <row r="282">
      <c r="A282" s="127" t="inlineStr">
        <is>
          <t>FY26 Total</t>
        </is>
      </c>
      <c r="B282" s="127" t="inlineStr">
        <is>
          <t>FY2026 Approved AOP</t>
        </is>
      </c>
      <c r="C282" s="139" t="inlineStr">
        <is>
          <t>Base</t>
        </is>
      </c>
      <c r="D282" s="205" t="inlineStr">
        <is>
          <t>iPad Revenue</t>
        </is>
      </c>
      <c r="E282" s="146">
        <f>IS!P37</f>
        <v>28727.77845</v>
      </c>
      <c r="F282" s="206" t="inlineStr">
        <is>
          <t>IS!P37</t>
        </is>
      </c>
      <c r="G282" s="143" t="inlineStr"/>
    </row>
    <row r="283">
      <c r="A283" s="127" t="inlineStr">
        <is>
          <t>FY26 Total</t>
        </is>
      </c>
      <c r="B283" s="127" t="inlineStr">
        <is>
          <t>FY2026 Approved AOP</t>
        </is>
      </c>
      <c r="C283" s="139" t="inlineStr">
        <is>
          <t>Base</t>
        </is>
      </c>
      <c r="D283" s="205" t="inlineStr">
        <is>
          <t>Wearables Revenue</t>
        </is>
      </c>
      <c r="E283" s="146">
        <f>IS!P38</f>
        <v>35682.4314</v>
      </c>
      <c r="F283" s="206" t="inlineStr">
        <is>
          <t>IS!P38</t>
        </is>
      </c>
      <c r="G283" s="143" t="inlineStr"/>
    </row>
    <row r="284">
      <c r="A284" s="127" t="inlineStr">
        <is>
          <t>FY26 Total</t>
        </is>
      </c>
      <c r="B284" s="127" t="inlineStr">
        <is>
          <t>FY2026 Approved AOP</t>
        </is>
      </c>
      <c r="C284" s="139" t="inlineStr">
        <is>
          <t>Base</t>
        </is>
      </c>
      <c r="D284" s="205" t="inlineStr">
        <is>
          <t>Services Revenue</t>
        </is>
      </c>
      <c r="E284" s="146">
        <f>IS!P40</f>
        <v>123212.0925</v>
      </c>
      <c r="F284" s="206" t="inlineStr">
        <is>
          <t>IS!P40</t>
        </is>
      </c>
      <c r="G284" s="143" t="inlineStr"/>
    </row>
    <row r="285">
      <c r="A285" s="127" t="inlineStr">
        <is>
          <t>FY26 Total</t>
        </is>
      </c>
      <c r="B285" s="127" t="inlineStr">
        <is>
          <t>FY2026 Approved AOP</t>
        </is>
      </c>
      <c r="C285" s="139" t="inlineStr">
        <is>
          <t>Base</t>
        </is>
      </c>
      <c r="D285" s="205" t="inlineStr">
        <is>
          <t>Gross Margin $</t>
        </is>
      </c>
      <c r="E285" s="146">
        <f>IS!P44</f>
        <v>210371.385396</v>
      </c>
      <c r="F285" s="206" t="inlineStr">
        <is>
          <t>IS!P44</t>
        </is>
      </c>
      <c r="G285" s="143" t="inlineStr"/>
    </row>
    <row r="286">
      <c r="A286" s="127" t="inlineStr">
        <is>
          <t>FY26 Total</t>
        </is>
      </c>
      <c r="B286" s="127" t="inlineStr">
        <is>
          <t>FY2026 Approved AOP</t>
        </is>
      </c>
      <c r="C286" s="139" t="inlineStr">
        <is>
          <t>Base</t>
        </is>
      </c>
      <c r="D286" s="205" t="inlineStr">
        <is>
          <t>Gross Margin %</t>
        </is>
      </c>
      <c r="E286" s="142">
        <f>IS!P45</f>
        <v>0.477721432993118</v>
      </c>
      <c r="F286" s="206" t="inlineStr">
        <is>
          <t>IS!P45</t>
        </is>
      </c>
      <c r="G286" s="143" t="inlineStr"/>
    </row>
    <row r="287">
      <c r="A287" s="127" t="inlineStr">
        <is>
          <t>FY26 Total</t>
        </is>
      </c>
      <c r="B287" s="127" t="inlineStr">
        <is>
          <t>FY2026 Approved AOP</t>
        </is>
      </c>
      <c r="C287" s="139" t="inlineStr">
        <is>
          <t>Base</t>
        </is>
      </c>
      <c r="D287" s="205" t="inlineStr">
        <is>
          <t>Operating Income</t>
        </is>
      </c>
      <c r="E287" s="146">
        <f>IS!P49</f>
        <v>144757.12934805</v>
      </c>
      <c r="F287" s="206" t="inlineStr">
        <is>
          <t>IS!P49</t>
        </is>
      </c>
      <c r="G287" s="143" t="inlineStr"/>
    </row>
    <row r="288">
      <c r="A288" s="127" t="inlineStr">
        <is>
          <t>FY26 Total</t>
        </is>
      </c>
      <c r="B288" s="127" t="inlineStr">
        <is>
          <t>FY2026 Approved AOP</t>
        </is>
      </c>
      <c r="C288" s="139" t="inlineStr">
        <is>
          <t>Base</t>
        </is>
      </c>
      <c r="D288" s="205" t="inlineStr">
        <is>
          <t>Net Income</t>
        </is>
      </c>
      <c r="E288" s="146">
        <f>IS!P53</f>
        <v>121595.988652362</v>
      </c>
      <c r="F288" s="206" t="inlineStr">
        <is>
          <t>IS!P53</t>
        </is>
      </c>
      <c r="G288" s="143" t="inlineStr"/>
    </row>
    <row r="289">
      <c r="A289" s="127" t="inlineStr">
        <is>
          <t>FY26 Total</t>
        </is>
      </c>
      <c r="B289" s="127" t="inlineStr">
        <is>
          <t>FY2026 Approved AOP</t>
        </is>
      </c>
      <c r="C289" s="139" t="inlineStr">
        <is>
          <t>Base</t>
        </is>
      </c>
      <c r="D289" s="205" t="inlineStr">
        <is>
          <t>EPS</t>
        </is>
      </c>
      <c r="E289" s="148">
        <f>IS!P57</f>
        <v>8.26316644773979</v>
      </c>
      <c r="F289" s="206" t="inlineStr">
        <is>
          <t>IS!P57</t>
        </is>
      </c>
      <c r="G289" s="143" t="inlineStr"/>
    </row>
    <row r="290">
      <c r="A290" s="127" t="inlineStr">
        <is>
          <t>FY26 Total</t>
        </is>
      </c>
      <c r="B290" s="127" t="inlineStr">
        <is>
          <t>FY2026 Approved AOP</t>
        </is>
      </c>
      <c r="C290" s="139" t="inlineStr">
        <is>
          <t>Base</t>
        </is>
      </c>
      <c r="D290" s="205" t="inlineStr">
        <is>
          <t>FCF</t>
        </is>
      </c>
      <c r="E290" s="146">
        <f>CF!P32</f>
        <v>123043.028094645</v>
      </c>
      <c r="F290" s="206" t="inlineStr">
        <is>
          <t>CF!P32</t>
        </is>
      </c>
      <c r="G290" s="143" t="inlineStr"/>
    </row>
    <row r="291">
      <c r="A291" s="127" t="inlineStr">
        <is>
          <t>FY26 Total</t>
        </is>
      </c>
      <c r="B291" s="127" t="inlineStr">
        <is>
          <t>FY2026 Approved AOP</t>
        </is>
      </c>
      <c r="C291" s="139" t="inlineStr">
        <is>
          <t>Base</t>
        </is>
      </c>
      <c r="D291" s="205" t="inlineStr">
        <is>
          <t>Cash</t>
        </is>
      </c>
      <c r="E291" s="146">
        <f>BS!P9</f>
        <v>29998.9045116102</v>
      </c>
      <c r="F291" s="206" t="inlineStr">
        <is>
          <t>BS!P9</t>
        </is>
      </c>
      <c r="G291" s="143" t="inlineStr"/>
    </row>
    <row r="292">
      <c r="A292" s="127" t="inlineStr">
        <is>
          <t>FY26 Total</t>
        </is>
      </c>
      <c r="B292" s="127" t="inlineStr">
        <is>
          <t>FY2026 Approved AOP</t>
        </is>
      </c>
      <c r="C292" s="139" t="inlineStr">
        <is>
          <t>Base</t>
        </is>
      </c>
      <c r="D292" s="205" t="inlineStr">
        <is>
          <t>R&amp;D $</t>
        </is>
      </c>
      <c r="E292" s="146">
        <f>IS!P47</f>
        <v>36550.22316765</v>
      </c>
      <c r="F292" s="206" t="inlineStr">
        <is>
          <t>IS!P47</t>
        </is>
      </c>
      <c r="G292" s="143" t="inlineStr"/>
    </row>
    <row r="293">
      <c r="A293" s="127" t="inlineStr">
        <is>
          <t>FY26 Total</t>
        </is>
      </c>
      <c r="B293" s="127" t="inlineStr">
        <is>
          <t>FY2026 Approved AOP</t>
        </is>
      </c>
      <c r="C293" s="139" t="inlineStr">
        <is>
          <t>Base</t>
        </is>
      </c>
      <c r="D293" s="205" t="inlineStr">
        <is>
          <t>SG&amp;A $</t>
        </is>
      </c>
      <c r="E293" s="146">
        <f>IS!P48</f>
        <v>29064.0328803</v>
      </c>
      <c r="F293" s="206" t="inlineStr">
        <is>
          <t>IS!P48</t>
        </is>
      </c>
      <c r="G293" s="143" t="inlineStr"/>
    </row>
    <row r="294">
      <c r="A294" s="127" t="inlineStr">
        <is>
          <t>FY26 Total</t>
        </is>
      </c>
      <c r="B294" s="127" t="inlineStr">
        <is>
          <t>FY2026 Approved AOP</t>
        </is>
      </c>
      <c r="C294" s="139" t="inlineStr">
        <is>
          <t>Base</t>
        </is>
      </c>
      <c r="D294" s="205" t="inlineStr">
        <is>
          <t>Operating Margin %</t>
        </is>
      </c>
      <c r="E294" s="142">
        <f>IS!P50</f>
        <v>0.328721432993118</v>
      </c>
      <c r="F294" s="206" t="inlineStr">
        <is>
          <t>IS!P50</t>
        </is>
      </c>
      <c r="G294" s="143" t="inlineStr"/>
    </row>
    <row r="295">
      <c r="A295" s="127" t="inlineStr">
        <is>
          <t>FY26 Total</t>
        </is>
      </c>
      <c r="B295" s="127" t="inlineStr">
        <is>
          <t>FY2026 Approved AOP</t>
        </is>
      </c>
      <c r="C295" s="139" t="inlineStr">
        <is>
          <t>Base</t>
        </is>
      </c>
      <c r="D295" s="205" t="inlineStr">
        <is>
          <t>AR $</t>
        </is>
      </c>
      <c r="E295" s="146">
        <f>BS!P11</f>
        <v>39477.2885038766</v>
      </c>
      <c r="F295" s="206" t="inlineStr">
        <is>
          <t>BS!P11</t>
        </is>
      </c>
      <c r="G295" s="143" t="inlineStr"/>
    </row>
    <row r="296">
      <c r="A296" s="127" t="inlineStr">
        <is>
          <t>FY26 Total</t>
        </is>
      </c>
      <c r="B296" s="127" t="inlineStr">
        <is>
          <t>FY2026 Approved AOP</t>
        </is>
      </c>
      <c r="C296" s="139" t="inlineStr">
        <is>
          <t>Base</t>
        </is>
      </c>
      <c r="D296" s="205" t="inlineStr">
        <is>
          <t>Inventory $</t>
        </is>
      </c>
      <c r="E296" s="146">
        <f>BS!P13</f>
        <v>6247.92171791574</v>
      </c>
      <c r="F296" s="206" t="inlineStr">
        <is>
          <t>BS!P13</t>
        </is>
      </c>
      <c r="G296" s="143" t="inlineStr"/>
    </row>
    <row r="297">
      <c r="A297" s="127" t="inlineStr">
        <is>
          <t>FY26 Total</t>
        </is>
      </c>
      <c r="B297" s="127" t="inlineStr">
        <is>
          <t>FY2026 Approved AOP</t>
        </is>
      </c>
      <c r="C297" s="139" t="inlineStr">
        <is>
          <t>Base</t>
        </is>
      </c>
      <c r="D297" s="205" t="inlineStr">
        <is>
          <t>AP $</t>
        </is>
      </c>
      <c r="E297" s="146">
        <f>BS!P22</f>
        <v>71851.099756031</v>
      </c>
      <c r="F297" s="206" t="inlineStr">
        <is>
          <t>BS!P22</t>
        </is>
      </c>
      <c r="G297" s="143" t="inlineStr"/>
    </row>
    <row r="298">
      <c r="A298" s="127" t="inlineStr">
        <is>
          <t>FY26 Total</t>
        </is>
      </c>
      <c r="B298" s="127" t="inlineStr">
        <is>
          <t>FY2026 Approved AOP</t>
        </is>
      </c>
      <c r="C298" s="139" t="inlineStr">
        <is>
          <t>Base</t>
        </is>
      </c>
      <c r="D298" s="205" t="inlineStr">
        <is>
          <t>CapEx $</t>
        </is>
      </c>
      <c r="E298" s="146">
        <f>CF!P22</f>
        <v>-13210.9240365</v>
      </c>
      <c r="F298" s="206" t="inlineStr">
        <is>
          <t>CF!P22</t>
        </is>
      </c>
      <c r="G298" s="143" t="inlineStr"/>
    </row>
    <row r="299">
      <c r="A299" s="127" t="inlineStr">
        <is>
          <t>FY26 Total</t>
        </is>
      </c>
      <c r="B299" s="127" t="inlineStr">
        <is>
          <t>FY2026 Approved AOP</t>
        </is>
      </c>
      <c r="C299" s="139" t="inlineStr">
        <is>
          <t>Base</t>
        </is>
      </c>
      <c r="D299" s="205" t="inlineStr">
        <is>
          <t>Buyback $</t>
        </is>
      </c>
      <c r="E299" s="146">
        <f>CF!P25</f>
        <v>-110738.725285181</v>
      </c>
      <c r="F299" s="206" t="inlineStr">
        <is>
          <t>CF!P25</t>
        </is>
      </c>
      <c r="G299" s="143" t="inlineStr"/>
    </row>
    <row r="300">
      <c r="A300" s="127" t="inlineStr">
        <is>
          <t>FY26 Total</t>
        </is>
      </c>
      <c r="B300" s="127" t="inlineStr">
        <is>
          <t>FY2026 Approved AOP</t>
        </is>
      </c>
      <c r="C300" s="139" t="inlineStr">
        <is>
          <t>Base</t>
        </is>
      </c>
      <c r="D300" s="205" t="inlineStr">
        <is>
          <t>Dividend $</t>
        </is>
      </c>
      <c r="E300" s="146">
        <f>CF!P26</f>
        <v>-18239.3982978543</v>
      </c>
      <c r="F300" s="206" t="inlineStr">
        <is>
          <t>CF!P26</t>
        </is>
      </c>
      <c r="G300" s="143" t="inlineStr"/>
    </row>
    <row r="301">
      <c r="A301" s="127" t="inlineStr">
        <is>
          <t>FY26 Total</t>
        </is>
      </c>
      <c r="B301" s="127" t="inlineStr">
        <is>
          <t>FY2026 Approved AOP</t>
        </is>
      </c>
      <c r="C301" s="139" t="inlineStr">
        <is>
          <t>Base</t>
        </is>
      </c>
      <c r="D301" s="205" t="inlineStr">
        <is>
          <t>Total Assets $</t>
        </is>
      </c>
      <c r="E301" s="146">
        <f>BS!P20</f>
        <v>353849.964825358</v>
      </c>
      <c r="F301" s="206" t="inlineStr">
        <is>
          <t>BS!P20</t>
        </is>
      </c>
      <c r="G301" s="143" t="inlineStr"/>
    </row>
    <row r="302">
      <c r="A302" s="127" t="inlineStr">
        <is>
          <t>FY26 Total</t>
        </is>
      </c>
      <c r="B302" s="127" t="inlineStr">
        <is>
          <t>FY2026 Approved AOP</t>
        </is>
      </c>
      <c r="C302" s="139" t="inlineStr">
        <is>
          <t>Base</t>
        </is>
      </c>
      <c r="D302" s="205" t="inlineStr">
        <is>
          <t>Total Liabilities $</t>
        </is>
      </c>
      <c r="E302" s="146">
        <f>BS!P31</f>
        <v>287499.099756031</v>
      </c>
      <c r="F302" s="206" t="inlineStr">
        <is>
          <t>BS!P31</t>
        </is>
      </c>
      <c r="G302" s="143" t="inlineStr"/>
    </row>
    <row r="303">
      <c r="A303" s="127" t="inlineStr">
        <is>
          <t>FY26 Total</t>
        </is>
      </c>
      <c r="B303" s="127" t="inlineStr">
        <is>
          <t>FY2026 Approved AOP</t>
        </is>
      </c>
      <c r="C303" s="139" t="inlineStr">
        <is>
          <t>Base</t>
        </is>
      </c>
      <c r="D303" s="205" t="inlineStr">
        <is>
          <t>Total Equity $</t>
        </is>
      </c>
      <c r="E303" s="146">
        <f>BS!P36</f>
        <v>66350.865069327</v>
      </c>
      <c r="F303" s="206" t="inlineStr">
        <is>
          <t>BS!P36</t>
        </is>
      </c>
      <c r="G303" s="143" t="inlineStr"/>
    </row>
    <row r="304">
      <c r="A304" s="127" t="inlineStr">
        <is>
          <t>FY26 Total</t>
        </is>
      </c>
      <c r="B304" s="127" t="inlineStr">
        <is>
          <t>FY2026 Approved AOP</t>
        </is>
      </c>
      <c r="C304" s="139" t="inlineStr">
        <is>
          <t>Base</t>
        </is>
      </c>
      <c r="D304" s="205" t="inlineStr">
        <is>
          <t>DSO</t>
        </is>
      </c>
      <c r="E304" s="190">
        <f>Drivers!G41</f>
        <v>33</v>
      </c>
      <c r="F304" s="206" t="inlineStr">
        <is>
          <t>Drivers!G41</t>
        </is>
      </c>
      <c r="G304" s="143" t="inlineStr">
        <is>
          <t>Drivers tab Active-column assumption (days), cascades with the live Drivers!B6 scenario switch -- constant across every quarter within this vintage (not period-specific), since DSO/DIO/DPO are not part of any vintage's Driver Adjustment Log.</t>
        </is>
      </c>
    </row>
    <row r="305">
      <c r="A305" s="127" t="inlineStr">
        <is>
          <t>FY26 Total</t>
        </is>
      </c>
      <c r="B305" s="127" t="inlineStr">
        <is>
          <t>FY2026 Approved AOP</t>
        </is>
      </c>
      <c r="C305" s="139" t="inlineStr">
        <is>
          <t>Base</t>
        </is>
      </c>
      <c r="D305" s="205" t="inlineStr">
        <is>
          <t>DIO</t>
        </is>
      </c>
      <c r="E305" s="190">
        <f>Drivers!G42</f>
        <v>10</v>
      </c>
      <c r="F305" s="206" t="inlineStr">
        <is>
          <t>Drivers!G42</t>
        </is>
      </c>
      <c r="G305" s="143" t="inlineStr">
        <is>
          <t>Drivers tab Active-column assumption (days), cascades with the live Drivers!B6 scenario switch -- constant across every quarter within this vintage (not period-specific), since DSO/DIO/DPO are not part of any vintage's Driver Adjustment Log.</t>
        </is>
      </c>
    </row>
    <row r="306">
      <c r="A306" s="127" t="inlineStr">
        <is>
          <t>FY26 Total</t>
        </is>
      </c>
      <c r="B306" s="127" t="inlineStr">
        <is>
          <t>FY2026 Approved AOP</t>
        </is>
      </c>
      <c r="C306" s="139" t="inlineStr">
        <is>
          <t>Base</t>
        </is>
      </c>
      <c r="D306" s="205" t="inlineStr">
        <is>
          <t>DPO</t>
        </is>
      </c>
      <c r="E306" s="190">
        <f>Drivers!G43</f>
        <v>115</v>
      </c>
      <c r="F306" s="206" t="inlineStr">
        <is>
          <t>Drivers!G43</t>
        </is>
      </c>
      <c r="G306" s="143" t="inlineStr">
        <is>
          <t>Drivers tab Active-column assumption (days), cascades with the live Drivers!B6 scenario switch -- constant across every quarter within this vintage (not period-specific), since DSO/DIO/DPO are not part of any vintage's Driver Adjustment Log.</t>
        </is>
      </c>
    </row>
    <row r="307">
      <c r="A307" s="127" t="inlineStr">
        <is>
          <t>FY26 Q2</t>
        </is>
      </c>
      <c r="B307" s="127" t="inlineStr">
        <is>
          <t>Q1 Forecast Update</t>
        </is>
      </c>
      <c r="C307" s="139" t="inlineStr">
        <is>
          <t>Base</t>
        </is>
      </c>
      <c r="D307" s="205" t="inlineStr">
        <is>
          <t>Revenue</t>
        </is>
      </c>
      <c r="E307" s="146">
        <f>IS!T41</f>
        <v>104011.933718506</v>
      </c>
      <c r="F307" s="206" t="inlineStr">
        <is>
          <t>IS!T41</t>
        </is>
      </c>
      <c r="G307" s="143" t="inlineStr"/>
    </row>
    <row r="308">
      <c r="A308" s="127" t="inlineStr">
        <is>
          <t>FY26 Q2</t>
        </is>
      </c>
      <c r="B308" s="127" t="inlineStr">
        <is>
          <t>Q1 Forecast Update</t>
        </is>
      </c>
      <c r="C308" s="139" t="inlineStr">
        <is>
          <t>Base</t>
        </is>
      </c>
      <c r="D308" s="205" t="inlineStr">
        <is>
          <t>iPhone Revenue</t>
        </is>
      </c>
      <c r="E308" s="146">
        <f>IS!T35</f>
        <v>51250.6895613631</v>
      </c>
      <c r="F308" s="206" t="inlineStr">
        <is>
          <t>IS!T35</t>
        </is>
      </c>
      <c r="G308" s="143" t="inlineStr"/>
    </row>
    <row r="309">
      <c r="A309" s="127" t="inlineStr">
        <is>
          <t>FY26 Q2</t>
        </is>
      </c>
      <c r="B309" s="127" t="inlineStr">
        <is>
          <t>Q1 Forecast Update</t>
        </is>
      </c>
      <c r="C309" s="139" t="inlineStr">
        <is>
          <t>Base</t>
        </is>
      </c>
      <c r="D309" s="205" t="inlineStr">
        <is>
          <t>Mac Revenue</t>
        </is>
      </c>
      <c r="E309" s="146">
        <f>IS!T36</f>
        <v>8445.7403614407</v>
      </c>
      <c r="F309" s="206" t="inlineStr">
        <is>
          <t>IS!T36</t>
        </is>
      </c>
      <c r="G309" s="143" t="inlineStr"/>
    </row>
    <row r="310">
      <c r="A310" s="127" t="inlineStr">
        <is>
          <t>FY26 Q2</t>
        </is>
      </c>
      <c r="B310" s="127" t="inlineStr">
        <is>
          <t>Q1 Forecast Update</t>
        </is>
      </c>
      <c r="C310" s="139" t="inlineStr">
        <is>
          <t>Base</t>
        </is>
      </c>
      <c r="D310" s="205" t="inlineStr">
        <is>
          <t>iPad Revenue</t>
        </is>
      </c>
      <c r="E310" s="146">
        <f>IS!T37</f>
        <v>6785.36591331341</v>
      </c>
      <c r="F310" s="206" t="inlineStr">
        <is>
          <t>IS!T37</t>
        </is>
      </c>
      <c r="G310" s="143" t="inlineStr"/>
    </row>
    <row r="311">
      <c r="A311" s="127" t="inlineStr">
        <is>
          <t>FY26 Q2</t>
        </is>
      </c>
      <c r="B311" s="127" t="inlineStr">
        <is>
          <t>Q1 Forecast Update</t>
        </is>
      </c>
      <c r="C311" s="139" t="inlineStr">
        <is>
          <t>Base</t>
        </is>
      </c>
      <c r="D311" s="205" t="inlineStr">
        <is>
          <t>Wearables Revenue</t>
        </is>
      </c>
      <c r="E311" s="146">
        <f>IS!T38</f>
        <v>8428.02217188862</v>
      </c>
      <c r="F311" s="206" t="inlineStr">
        <is>
          <t>IS!T38</t>
        </is>
      </c>
      <c r="G311" s="143" t="inlineStr"/>
    </row>
    <row r="312">
      <c r="A312" s="127" t="inlineStr">
        <is>
          <t>FY26 Q2</t>
        </is>
      </c>
      <c r="B312" s="127" t="inlineStr">
        <is>
          <t>Q1 Forecast Update</t>
        </is>
      </c>
      <c r="C312" s="139" t="inlineStr">
        <is>
          <t>Base</t>
        </is>
      </c>
      <c r="D312" s="205" t="inlineStr">
        <is>
          <t>Services Revenue</t>
        </is>
      </c>
      <c r="E312" s="146">
        <f>IS!T40</f>
        <v>29102.1157105004</v>
      </c>
      <c r="F312" s="206" t="inlineStr">
        <is>
          <t>IS!T40</t>
        </is>
      </c>
      <c r="G312" s="143" t="inlineStr"/>
    </row>
    <row r="313">
      <c r="A313" s="127" t="inlineStr">
        <is>
          <t>FY26 Q2</t>
        </is>
      </c>
      <c r="B313" s="127" t="inlineStr">
        <is>
          <t>Q1 Forecast Update</t>
        </is>
      </c>
      <c r="C313" s="139" t="inlineStr">
        <is>
          <t>Base</t>
        </is>
      </c>
      <c r="D313" s="205" t="inlineStr">
        <is>
          <t>Gross Margin $</t>
        </is>
      </c>
      <c r="E313" s="146">
        <f>IS!T44</f>
        <v>49688.7300243899</v>
      </c>
      <c r="F313" s="206" t="inlineStr">
        <is>
          <t>IS!T44</t>
        </is>
      </c>
      <c r="G313" s="143" t="inlineStr"/>
    </row>
    <row r="314">
      <c r="A314" s="127" t="inlineStr">
        <is>
          <t>FY26 Q2</t>
        </is>
      </c>
      <c r="B314" s="127" t="inlineStr">
        <is>
          <t>Q1 Forecast Update</t>
        </is>
      </c>
      <c r="C314" s="139" t="inlineStr">
        <is>
          <t>Base</t>
        </is>
      </c>
      <c r="D314" s="205" t="inlineStr">
        <is>
          <t>Gross Margin %</t>
        </is>
      </c>
      <c r="E314" s="142">
        <f>IS!T45</f>
        <v>0.477721432993118</v>
      </c>
      <c r="F314" s="206" t="inlineStr">
        <is>
          <t>IS!T45</t>
        </is>
      </c>
      <c r="G314" s="143" t="inlineStr"/>
    </row>
    <row r="315">
      <c r="A315" s="127" t="inlineStr">
        <is>
          <t>FY26 Q2</t>
        </is>
      </c>
      <c r="B315" s="127" t="inlineStr">
        <is>
          <t>Q1 Forecast Update</t>
        </is>
      </c>
      <c r="C315" s="139" t="inlineStr">
        <is>
          <t>Base</t>
        </is>
      </c>
      <c r="D315" s="205" t="inlineStr">
        <is>
          <t>Operating Income</t>
        </is>
      </c>
      <c r="E315" s="146">
        <f>IS!T49</f>
        <v>36390.9523329376</v>
      </c>
      <c r="F315" s="206" t="inlineStr">
        <is>
          <t>IS!T49</t>
        </is>
      </c>
      <c r="G315" s="143" t="inlineStr"/>
    </row>
    <row r="316">
      <c r="A316" s="127" t="inlineStr">
        <is>
          <t>FY26 Q2</t>
        </is>
      </c>
      <c r="B316" s="127" t="inlineStr">
        <is>
          <t>Q1 Forecast Update</t>
        </is>
      </c>
      <c r="C316" s="139" t="inlineStr">
        <is>
          <t>Base</t>
        </is>
      </c>
      <c r="D316" s="205" t="inlineStr">
        <is>
          <t>Net Income</t>
        </is>
      </c>
      <c r="E316" s="146">
        <f>IS!T53</f>
        <v>30125.657208363</v>
      </c>
      <c r="F316" s="206" t="inlineStr">
        <is>
          <t>IS!T53</t>
        </is>
      </c>
      <c r="G316" s="143" t="inlineStr"/>
    </row>
    <row r="317">
      <c r="A317" s="127" t="inlineStr">
        <is>
          <t>FY26 Q2</t>
        </is>
      </c>
      <c r="B317" s="127" t="inlineStr">
        <is>
          <t>Q1 Forecast Update</t>
        </is>
      </c>
      <c r="C317" s="139" t="inlineStr">
        <is>
          <t>Base</t>
        </is>
      </c>
      <c r="D317" s="205" t="inlineStr">
        <is>
          <t>EPS</t>
        </is>
      </c>
      <c r="E317" s="148">
        <f>IS!T57</f>
        <v>2.04721654570321</v>
      </c>
      <c r="F317" s="206" t="inlineStr">
        <is>
          <t>IS!T57</t>
        </is>
      </c>
      <c r="G317" s="143" t="inlineStr"/>
    </row>
    <row r="318">
      <c r="A318" s="127" t="inlineStr">
        <is>
          <t>FY26 Q2</t>
        </is>
      </c>
      <c r="B318" s="127" t="inlineStr">
        <is>
          <t>Q1 Forecast Update</t>
        </is>
      </c>
      <c r="C318" s="139" t="inlineStr">
        <is>
          <t>Base</t>
        </is>
      </c>
      <c r="D318" s="205" t="inlineStr">
        <is>
          <t>FCF</t>
        </is>
      </c>
      <c r="E318" s="146">
        <f>CF!T32</f>
        <v>22994.4659344615</v>
      </c>
      <c r="F318" s="206" t="inlineStr">
        <is>
          <t>CF!T32</t>
        </is>
      </c>
      <c r="G318" s="143" t="inlineStr"/>
    </row>
    <row r="319">
      <c r="A319" s="127" t="inlineStr">
        <is>
          <t>FY26 Q2</t>
        </is>
      </c>
      <c r="B319" s="127" t="inlineStr">
        <is>
          <t>Q1 Forecast Update</t>
        </is>
      </c>
      <c r="C319" s="139" t="inlineStr">
        <is>
          <t>Base</t>
        </is>
      </c>
      <c r="D319" s="205" t="inlineStr">
        <is>
          <t>Cash</t>
        </is>
      </c>
      <c r="E319" s="146">
        <f>BS!T9</f>
        <v>32660.7157489658</v>
      </c>
      <c r="F319" s="206" t="inlineStr">
        <is>
          <t>BS!T9</t>
        </is>
      </c>
      <c r="G319" s="143" t="inlineStr"/>
    </row>
    <row r="320">
      <c r="A320" s="127" t="inlineStr">
        <is>
          <t>FY26 Q2</t>
        </is>
      </c>
      <c r="B320" s="127" t="inlineStr">
        <is>
          <t>Q1 Forecast Update</t>
        </is>
      </c>
      <c r="C320" s="139" t="inlineStr">
        <is>
          <t>Base</t>
        </is>
      </c>
      <c r="D320" s="205" t="inlineStr">
        <is>
          <t>R&amp;D $</t>
        </is>
      </c>
      <c r="E320" s="146">
        <f>IS!T47</f>
        <v>7877.0828514523</v>
      </c>
      <c r="F320" s="206" t="inlineStr">
        <is>
          <t>IS!T47</t>
        </is>
      </c>
      <c r="G320" s="143" t="inlineStr"/>
    </row>
    <row r="321">
      <c r="A321" s="127" t="inlineStr">
        <is>
          <t>FY26 Q2</t>
        </is>
      </c>
      <c r="B321" s="127" t="inlineStr">
        <is>
          <t>Q1 Forecast Update</t>
        </is>
      </c>
      <c r="C321" s="139" t="inlineStr">
        <is>
          <t>Base</t>
        </is>
      </c>
      <c r="D321" s="205" t="inlineStr">
        <is>
          <t>SG&amp;A $</t>
        </is>
      </c>
      <c r="E321" s="146">
        <f>IS!T48</f>
        <v>5420.69484000006</v>
      </c>
      <c r="F321" s="206" t="inlineStr">
        <is>
          <t>IS!T48</t>
        </is>
      </c>
      <c r="G321" s="143" t="inlineStr"/>
    </row>
    <row r="322">
      <c r="A322" s="127" t="inlineStr">
        <is>
          <t>FY26 Q2</t>
        </is>
      </c>
      <c r="B322" s="127" t="inlineStr">
        <is>
          <t>Q1 Forecast Update</t>
        </is>
      </c>
      <c r="C322" s="139" t="inlineStr">
        <is>
          <t>Base</t>
        </is>
      </c>
      <c r="D322" s="205" t="inlineStr">
        <is>
          <t>Operating Margin %</t>
        </is>
      </c>
      <c r="E322" s="142">
        <f>IS!T50</f>
        <v>0.34987285623806</v>
      </c>
      <c r="F322" s="206" t="inlineStr">
        <is>
          <t>IS!T50</t>
        </is>
      </c>
      <c r="G322" s="143" t="inlineStr"/>
    </row>
    <row r="323">
      <c r="A323" s="127" t="inlineStr">
        <is>
          <t>FY26 Q2</t>
        </is>
      </c>
      <c r="B323" s="127" t="inlineStr">
        <is>
          <t>Q1 Forecast Update</t>
        </is>
      </c>
      <c r="C323" s="139" t="inlineStr">
        <is>
          <t>Base</t>
        </is>
      </c>
      <c r="D323" s="205" t="inlineStr">
        <is>
          <t>AR $</t>
        </is>
      </c>
      <c r="E323" s="146">
        <f>BS!T11</f>
        <v>38137.7090301189</v>
      </c>
      <c r="F323" s="206" t="inlineStr">
        <is>
          <t>BS!T11</t>
        </is>
      </c>
      <c r="G323" s="143" t="inlineStr"/>
    </row>
    <row r="324">
      <c r="A324" s="127" t="inlineStr">
        <is>
          <t>FY26 Q2</t>
        </is>
      </c>
      <c r="B324" s="127" t="inlineStr">
        <is>
          <t>Q1 Forecast Update</t>
        </is>
      </c>
      <c r="C324" s="139" t="inlineStr">
        <is>
          <t>Base</t>
        </is>
      </c>
      <c r="D324" s="205" t="inlineStr">
        <is>
          <t>Inventory $</t>
        </is>
      </c>
      <c r="E324" s="146">
        <f>BS!T13</f>
        <v>6035.91152156847</v>
      </c>
      <c r="F324" s="206" t="inlineStr">
        <is>
          <t>BS!T13</t>
        </is>
      </c>
      <c r="G324" s="143" t="inlineStr"/>
    </row>
    <row r="325">
      <c r="A325" s="127" t="inlineStr">
        <is>
          <t>FY26 Q2</t>
        </is>
      </c>
      <c r="B325" s="127" t="inlineStr">
        <is>
          <t>Q1 Forecast Update</t>
        </is>
      </c>
      <c r="C325" s="139" t="inlineStr">
        <is>
          <t>Base</t>
        </is>
      </c>
      <c r="D325" s="205" t="inlineStr">
        <is>
          <t>AP $</t>
        </is>
      </c>
      <c r="E325" s="146">
        <f>BS!T22</f>
        <v>69412.9824980374</v>
      </c>
      <c r="F325" s="206" t="inlineStr">
        <is>
          <t>BS!T22</t>
        </is>
      </c>
      <c r="G325" s="143" t="inlineStr"/>
    </row>
    <row r="326">
      <c r="A326" s="127" t="inlineStr">
        <is>
          <t>FY26 Q2</t>
        </is>
      </c>
      <c r="B326" s="127" t="inlineStr">
        <is>
          <t>Q1 Forecast Update</t>
        </is>
      </c>
      <c r="C326" s="139" t="inlineStr">
        <is>
          <t>Base</t>
        </is>
      </c>
      <c r="D326" s="205" t="inlineStr">
        <is>
          <t>CapEx $</t>
        </is>
      </c>
      <c r="E326" s="146">
        <f>CF!T22</f>
        <v>-3120.35801155518</v>
      </c>
      <c r="F326" s="206" t="inlineStr">
        <is>
          <t>CF!T22</t>
        </is>
      </c>
      <c r="G326" s="143" t="inlineStr"/>
    </row>
    <row r="327">
      <c r="A327" s="127" t="inlineStr">
        <is>
          <t>FY26 Q2</t>
        </is>
      </c>
      <c r="B327" s="127" t="inlineStr">
        <is>
          <t>Q1 Forecast Update</t>
        </is>
      </c>
      <c r="C327" s="139" t="inlineStr">
        <is>
          <t>Base</t>
        </is>
      </c>
      <c r="D327" s="205" t="inlineStr">
        <is>
          <t>Buyback $</t>
        </is>
      </c>
      <c r="E327" s="146">
        <f>CF!T25</f>
        <v>-20695.0193410153</v>
      </c>
      <c r="F327" s="206" t="inlineStr">
        <is>
          <t>CF!T25</t>
        </is>
      </c>
      <c r="G327" s="143" t="inlineStr"/>
    </row>
    <row r="328">
      <c r="A328" s="127" t="inlineStr">
        <is>
          <t>FY26 Q2</t>
        </is>
      </c>
      <c r="B328" s="127" t="inlineStr">
        <is>
          <t>Q1 Forecast Update</t>
        </is>
      </c>
      <c r="C328" s="139" t="inlineStr">
        <is>
          <t>Base</t>
        </is>
      </c>
      <c r="D328" s="205" t="inlineStr">
        <is>
          <t>Dividend $</t>
        </is>
      </c>
      <c r="E328" s="146">
        <f>CF!T26</f>
        <v>-4518.84858125444</v>
      </c>
      <c r="F328" s="206" t="inlineStr">
        <is>
          <t>CF!T26</t>
        </is>
      </c>
      <c r="G328" s="143" t="inlineStr"/>
    </row>
    <row r="329">
      <c r="A329" s="127" t="inlineStr">
        <is>
          <t>FY26 Q2</t>
        </is>
      </c>
      <c r="B329" s="127" t="inlineStr">
        <is>
          <t>Q1 Forecast Update</t>
        </is>
      </c>
      <c r="C329" s="139" t="inlineStr">
        <is>
          <t>Base</t>
        </is>
      </c>
      <c r="D329" s="205" t="inlineStr">
        <is>
          <t>Total Assets $</t>
        </is>
      </c>
      <c r="E329" s="146">
        <f>BS!T20</f>
        <v>354815.323248961</v>
      </c>
      <c r="F329" s="206" t="inlineStr">
        <is>
          <t>BS!T20</t>
        </is>
      </c>
      <c r="G329" s="143" t="inlineStr"/>
    </row>
    <row r="330">
      <c r="A330" s="127" t="inlineStr">
        <is>
          <t>FY26 Q2</t>
        </is>
      </c>
      <c r="B330" s="127" t="inlineStr">
        <is>
          <t>Q1 Forecast Update</t>
        </is>
      </c>
      <c r="C330" s="139" t="inlineStr">
        <is>
          <t>Base</t>
        </is>
      </c>
      <c r="D330" s="205" t="inlineStr">
        <is>
          <t>Total Liabilities $</t>
        </is>
      </c>
      <c r="E330" s="146">
        <f>BS!T31</f>
        <v>285060.982498037</v>
      </c>
      <c r="F330" s="206" t="inlineStr">
        <is>
          <t>BS!T31</t>
        </is>
      </c>
      <c r="G330" s="143" t="inlineStr"/>
    </row>
    <row r="331">
      <c r="A331" s="127" t="inlineStr">
        <is>
          <t>FY26 Q2</t>
        </is>
      </c>
      <c r="B331" s="127" t="inlineStr">
        <is>
          <t>Q1 Forecast Update</t>
        </is>
      </c>
      <c r="C331" s="139" t="inlineStr">
        <is>
          <t>Base</t>
        </is>
      </c>
      <c r="D331" s="205" t="inlineStr">
        <is>
          <t>Total Equity $</t>
        </is>
      </c>
      <c r="E331" s="146">
        <f>BS!T36</f>
        <v>69754.3407509241</v>
      </c>
      <c r="F331" s="206" t="inlineStr">
        <is>
          <t>BS!T36</t>
        </is>
      </c>
      <c r="G331" s="143" t="inlineStr"/>
    </row>
    <row r="332">
      <c r="A332" s="127" t="inlineStr">
        <is>
          <t>FY26 Q2</t>
        </is>
      </c>
      <c r="B332" s="127" t="inlineStr">
        <is>
          <t>Q1 Forecast Update</t>
        </is>
      </c>
      <c r="C332" s="139" t="inlineStr">
        <is>
          <t>Base</t>
        </is>
      </c>
      <c r="D332" s="205" t="inlineStr">
        <is>
          <t>DSO</t>
        </is>
      </c>
      <c r="E332" s="190">
        <f>Drivers!G41</f>
        <v>33</v>
      </c>
      <c r="F332" s="206" t="inlineStr">
        <is>
          <t>Drivers!G41</t>
        </is>
      </c>
      <c r="G332" s="143" t="inlineStr">
        <is>
          <t>Drivers tab Active-column assumption (days), cascades with the live Drivers!B6 scenario switch -- constant across every quarter within this vintage (not period-specific), since DSO/DIO/DPO are not part of any vintage's Driver Adjustment Log.</t>
        </is>
      </c>
    </row>
    <row r="333">
      <c r="A333" s="127" t="inlineStr">
        <is>
          <t>FY26 Q2</t>
        </is>
      </c>
      <c r="B333" s="127" t="inlineStr">
        <is>
          <t>Q1 Forecast Update</t>
        </is>
      </c>
      <c r="C333" s="139" t="inlineStr">
        <is>
          <t>Base</t>
        </is>
      </c>
      <c r="D333" s="205" t="inlineStr">
        <is>
          <t>DIO</t>
        </is>
      </c>
      <c r="E333" s="190">
        <f>Drivers!G42</f>
        <v>10</v>
      </c>
      <c r="F333" s="206" t="inlineStr">
        <is>
          <t>Drivers!G42</t>
        </is>
      </c>
      <c r="G333" s="143" t="inlineStr">
        <is>
          <t>Drivers tab Active-column assumption (days), cascades with the live Drivers!B6 scenario switch -- constant across every quarter within this vintage (not period-specific), since DSO/DIO/DPO are not part of any vintage's Driver Adjustment Log.</t>
        </is>
      </c>
    </row>
    <row r="334">
      <c r="A334" s="127" t="inlineStr">
        <is>
          <t>FY26 Q2</t>
        </is>
      </c>
      <c r="B334" s="127" t="inlineStr">
        <is>
          <t>Q1 Forecast Update</t>
        </is>
      </c>
      <c r="C334" s="139" t="inlineStr">
        <is>
          <t>Base</t>
        </is>
      </c>
      <c r="D334" s="205" t="inlineStr">
        <is>
          <t>DPO</t>
        </is>
      </c>
      <c r="E334" s="190">
        <f>Drivers!G43</f>
        <v>115</v>
      </c>
      <c r="F334" s="206" t="inlineStr">
        <is>
          <t>Drivers!G43</t>
        </is>
      </c>
      <c r="G334" s="143" t="inlineStr">
        <is>
          <t>Drivers tab Active-column assumption (days), cascades with the live Drivers!B6 scenario switch -- constant across every quarter within this vintage (not period-specific), since DSO/DIO/DPO are not part of any vintage's Driver Adjustment Log.</t>
        </is>
      </c>
    </row>
    <row r="335">
      <c r="A335" s="127" t="inlineStr">
        <is>
          <t>FY26 Q3</t>
        </is>
      </c>
      <c r="B335" s="127" t="inlineStr">
        <is>
          <t>Q1 Forecast Update</t>
        </is>
      </c>
      <c r="C335" s="139" t="inlineStr">
        <is>
          <t>Base</t>
        </is>
      </c>
      <c r="D335" s="205" t="inlineStr">
        <is>
          <t>Revenue</t>
        </is>
      </c>
      <c r="E335" s="146">
        <f>IS!U41</f>
        <v>100425.31670063</v>
      </c>
      <c r="F335" s="206" t="inlineStr">
        <is>
          <t>IS!U41</t>
        </is>
      </c>
      <c r="G335" s="143" t="inlineStr"/>
    </row>
    <row r="336">
      <c r="A336" s="127" t="inlineStr">
        <is>
          <t>FY26 Q3</t>
        </is>
      </c>
      <c r="B336" s="127" t="inlineStr">
        <is>
          <t>Q1 Forecast Update</t>
        </is>
      </c>
      <c r="C336" s="139" t="inlineStr">
        <is>
          <t>Base</t>
        </is>
      </c>
      <c r="D336" s="205" t="inlineStr">
        <is>
          <t>iPhone Revenue</t>
        </is>
      </c>
      <c r="E336" s="146">
        <f>IS!U35</f>
        <v>49483.4250871141</v>
      </c>
      <c r="F336" s="206" t="inlineStr">
        <is>
          <t>IS!U35</t>
        </is>
      </c>
      <c r="G336" s="143" t="inlineStr"/>
    </row>
    <row r="337">
      <c r="A337" s="127" t="inlineStr">
        <is>
          <t>FY26 Q3</t>
        </is>
      </c>
      <c r="B337" s="127" t="inlineStr">
        <is>
          <t>Q1 Forecast Update</t>
        </is>
      </c>
      <c r="C337" s="139" t="inlineStr">
        <is>
          <t>Base</t>
        </is>
      </c>
      <c r="D337" s="205" t="inlineStr">
        <is>
          <t>Mac Revenue</t>
        </is>
      </c>
      <c r="E337" s="146">
        <f>IS!U36</f>
        <v>8154.50804774405</v>
      </c>
      <c r="F337" s="206" t="inlineStr">
        <is>
          <t>IS!U36</t>
        </is>
      </c>
      <c r="G337" s="143" t="inlineStr"/>
    </row>
    <row r="338">
      <c r="A338" s="127" t="inlineStr">
        <is>
          <t>FY26 Q3</t>
        </is>
      </c>
      <c r="B338" s="127" t="inlineStr">
        <is>
          <t>Q1 Forecast Update</t>
        </is>
      </c>
      <c r="C338" s="139" t="inlineStr">
        <is>
          <t>Base</t>
        </is>
      </c>
      <c r="D338" s="205" t="inlineStr">
        <is>
          <t>iPad Revenue</t>
        </is>
      </c>
      <c r="E338" s="146">
        <f>IS!U37</f>
        <v>6551.38786880299</v>
      </c>
      <c r="F338" s="206" t="inlineStr">
        <is>
          <t>IS!U37</t>
        </is>
      </c>
      <c r="G338" s="143" t="inlineStr"/>
    </row>
    <row r="339">
      <c r="A339" s="127" t="inlineStr">
        <is>
          <t>FY26 Q3</t>
        </is>
      </c>
      <c r="B339" s="127" t="inlineStr">
        <is>
          <t>Q1 Forecast Update</t>
        </is>
      </c>
      <c r="C339" s="139" t="inlineStr">
        <is>
          <t>Base</t>
        </is>
      </c>
      <c r="D339" s="205" t="inlineStr">
        <is>
          <t>Wearables Revenue</t>
        </is>
      </c>
      <c r="E339" s="146">
        <f>IS!U38</f>
        <v>8137.40083000935</v>
      </c>
      <c r="F339" s="206" t="inlineStr">
        <is>
          <t>IS!U38</t>
        </is>
      </c>
      <c r="G339" s="143" t="inlineStr"/>
    </row>
    <row r="340">
      <c r="A340" s="127" t="inlineStr">
        <is>
          <t>FY26 Q3</t>
        </is>
      </c>
      <c r="B340" s="127" t="inlineStr">
        <is>
          <t>Q1 Forecast Update</t>
        </is>
      </c>
      <c r="C340" s="139" t="inlineStr">
        <is>
          <t>Base</t>
        </is>
      </c>
      <c r="D340" s="205" t="inlineStr">
        <is>
          <t>Services Revenue</t>
        </is>
      </c>
      <c r="E340" s="146">
        <f>IS!U40</f>
        <v>28098.5948669599</v>
      </c>
      <c r="F340" s="206" t="inlineStr">
        <is>
          <t>IS!U40</t>
        </is>
      </c>
      <c r="G340" s="143" t="inlineStr"/>
    </row>
    <row r="341">
      <c r="A341" s="127" t="inlineStr">
        <is>
          <t>FY26 Q3</t>
        </is>
      </c>
      <c r="B341" s="127" t="inlineStr">
        <is>
          <t>Q1 Forecast Update</t>
        </is>
      </c>
      <c r="C341" s="139" t="inlineStr">
        <is>
          <t>Base</t>
        </is>
      </c>
      <c r="D341" s="205" t="inlineStr">
        <is>
          <t>Gross Margin $</t>
        </is>
      </c>
      <c r="E341" s="146">
        <f>IS!U44</f>
        <v>47975.3262030128</v>
      </c>
      <c r="F341" s="206" t="inlineStr">
        <is>
          <t>IS!U44</t>
        </is>
      </c>
      <c r="G341" s="143" t="inlineStr"/>
    </row>
    <row r="342">
      <c r="A342" s="127" t="inlineStr">
        <is>
          <t>FY26 Q3</t>
        </is>
      </c>
      <c r="B342" s="127" t="inlineStr">
        <is>
          <t>Q1 Forecast Update</t>
        </is>
      </c>
      <c r="C342" s="139" t="inlineStr">
        <is>
          <t>Base</t>
        </is>
      </c>
      <c r="D342" s="205" t="inlineStr">
        <is>
          <t>Gross Margin %</t>
        </is>
      </c>
      <c r="E342" s="142">
        <f>IS!U45</f>
        <v>0.477721432993118</v>
      </c>
      <c r="F342" s="206" t="inlineStr">
        <is>
          <t>IS!U45</t>
        </is>
      </c>
      <c r="G342" s="143" t="inlineStr"/>
    </row>
    <row r="343">
      <c r="A343" s="127" t="inlineStr">
        <is>
          <t>FY26 Q3</t>
        </is>
      </c>
      <c r="B343" s="127" t="inlineStr">
        <is>
          <t>Q1 Forecast Update</t>
        </is>
      </c>
      <c r="C343" s="139" t="inlineStr">
        <is>
          <t>Base</t>
        </is>
      </c>
      <c r="D343" s="205" t="inlineStr">
        <is>
          <t>Operating Income</t>
        </is>
      </c>
      <c r="E343" s="146">
        <f>IS!U49</f>
        <v>35136.0923926614</v>
      </c>
      <c r="F343" s="206" t="inlineStr">
        <is>
          <t>IS!U49</t>
        </is>
      </c>
      <c r="G343" s="143" t="inlineStr"/>
    </row>
    <row r="344">
      <c r="A344" s="127" t="inlineStr">
        <is>
          <t>FY26 Q3</t>
        </is>
      </c>
      <c r="B344" s="127" t="inlineStr">
        <is>
          <t>Q1 Forecast Update</t>
        </is>
      </c>
      <c r="C344" s="139" t="inlineStr">
        <is>
          <t>Base</t>
        </is>
      </c>
      <c r="D344" s="205" t="inlineStr">
        <is>
          <t>Net Income</t>
        </is>
      </c>
      <c r="E344" s="146">
        <f>IS!U53</f>
        <v>29086.8418440546</v>
      </c>
      <c r="F344" s="206" t="inlineStr">
        <is>
          <t>IS!U53</t>
        </is>
      </c>
      <c r="G344" s="143" t="inlineStr"/>
    </row>
    <row r="345">
      <c r="A345" s="127" t="inlineStr">
        <is>
          <t>FY26 Q3</t>
        </is>
      </c>
      <c r="B345" s="127" t="inlineStr">
        <is>
          <t>Q1 Forecast Update</t>
        </is>
      </c>
      <c r="C345" s="139" t="inlineStr">
        <is>
          <t>Base</t>
        </is>
      </c>
      <c r="D345" s="205" t="inlineStr">
        <is>
          <t>EPS</t>
        </is>
      </c>
      <c r="E345" s="148">
        <f>IS!U57</f>
        <v>1.97662289899756</v>
      </c>
      <c r="F345" s="206" t="inlineStr">
        <is>
          <t>IS!U57</t>
        </is>
      </c>
      <c r="G345" s="143" t="inlineStr"/>
    </row>
    <row r="346">
      <c r="A346" s="127" t="inlineStr">
        <is>
          <t>FY26 Q3</t>
        </is>
      </c>
      <c r="B346" s="127" t="inlineStr">
        <is>
          <t>Q1 Forecast Update</t>
        </is>
      </c>
      <c r="C346" s="139" t="inlineStr">
        <is>
          <t>Base</t>
        </is>
      </c>
      <c r="D346" s="205" t="inlineStr">
        <is>
          <t>FCF</t>
        </is>
      </c>
      <c r="E346" s="146">
        <f>CF!U32</f>
        <v>28144.9456446475</v>
      </c>
      <c r="F346" s="206" t="inlineStr">
        <is>
          <t>CF!U32</t>
        </is>
      </c>
      <c r="G346" s="143" t="inlineStr"/>
    </row>
    <row r="347">
      <c r="A347" s="127" t="inlineStr">
        <is>
          <t>FY26 Q3</t>
        </is>
      </c>
      <c r="B347" s="127" t="inlineStr">
        <is>
          <t>Q1 Forecast Update</t>
        </is>
      </c>
      <c r="C347" s="139" t="inlineStr">
        <is>
          <t>Base</t>
        </is>
      </c>
      <c r="D347" s="205" t="inlineStr">
        <is>
          <t>Cash</t>
        </is>
      </c>
      <c r="E347" s="146">
        <f>BS!U9</f>
        <v>31112.1840368224</v>
      </c>
      <c r="F347" s="206" t="inlineStr">
        <is>
          <t>BS!U9</t>
        </is>
      </c>
      <c r="G347" s="143" t="inlineStr"/>
    </row>
    <row r="348">
      <c r="A348" s="127" t="inlineStr">
        <is>
          <t>FY26 Q3</t>
        </is>
      </c>
      <c r="B348" s="127" t="inlineStr">
        <is>
          <t>Q1 Forecast Update</t>
        </is>
      </c>
      <c r="C348" s="139" t="inlineStr">
        <is>
          <t>Base</t>
        </is>
      </c>
      <c r="D348" s="205" t="inlineStr">
        <is>
          <t>R&amp;D $</t>
        </is>
      </c>
      <c r="E348" s="146">
        <f>IS!U47</f>
        <v>7605.45940983168</v>
      </c>
      <c r="F348" s="206" t="inlineStr">
        <is>
          <t>IS!U47</t>
        </is>
      </c>
      <c r="G348" s="143" t="inlineStr"/>
    </row>
    <row r="349">
      <c r="A349" s="127" t="inlineStr">
        <is>
          <t>FY26 Q3</t>
        </is>
      </c>
      <c r="B349" s="127" t="inlineStr">
        <is>
          <t>Q1 Forecast Update</t>
        </is>
      </c>
      <c r="C349" s="139" t="inlineStr">
        <is>
          <t>Base</t>
        </is>
      </c>
      <c r="D349" s="205" t="inlineStr">
        <is>
          <t>SG&amp;A $</t>
        </is>
      </c>
      <c r="E349" s="146">
        <f>IS!U48</f>
        <v>5233.77440051979</v>
      </c>
      <c r="F349" s="206" t="inlineStr">
        <is>
          <t>IS!U48</t>
        </is>
      </c>
      <c r="G349" s="143" t="inlineStr"/>
    </row>
    <row r="350">
      <c r="A350" s="127" t="inlineStr">
        <is>
          <t>FY26 Q3</t>
        </is>
      </c>
      <c r="B350" s="127" t="inlineStr">
        <is>
          <t>Q1 Forecast Update</t>
        </is>
      </c>
      <c r="C350" s="139" t="inlineStr">
        <is>
          <t>Base</t>
        </is>
      </c>
      <c r="D350" s="205" t="inlineStr">
        <is>
          <t>Operating Margin %</t>
        </is>
      </c>
      <c r="E350" s="142">
        <f>IS!U50</f>
        <v>0.34987285623806</v>
      </c>
      <c r="F350" s="206" t="inlineStr">
        <is>
          <t>IS!U50</t>
        </is>
      </c>
      <c r="G350" s="143" t="inlineStr"/>
    </row>
    <row r="351">
      <c r="A351" s="127" t="inlineStr">
        <is>
          <t>FY26 Q3</t>
        </is>
      </c>
      <c r="B351" s="127" t="inlineStr">
        <is>
          <t>Q1 Forecast Update</t>
        </is>
      </c>
      <c r="C351" s="139" t="inlineStr">
        <is>
          <t>Base</t>
        </is>
      </c>
      <c r="D351" s="205" t="inlineStr">
        <is>
          <t>AR $</t>
        </is>
      </c>
      <c r="E351" s="146">
        <f>BS!U11</f>
        <v>36822.6161235645</v>
      </c>
      <c r="F351" s="206" t="inlineStr">
        <is>
          <t>BS!U11</t>
        </is>
      </c>
      <c r="G351" s="143" t="inlineStr"/>
    </row>
    <row r="352">
      <c r="A352" s="127" t="inlineStr">
        <is>
          <t>FY26 Q3</t>
        </is>
      </c>
      <c r="B352" s="127" t="inlineStr">
        <is>
          <t>Q1 Forecast Update</t>
        </is>
      </c>
      <c r="C352" s="139" t="inlineStr">
        <is>
          <t>Base</t>
        </is>
      </c>
      <c r="D352" s="205" t="inlineStr">
        <is>
          <t>Inventory $</t>
        </is>
      </c>
      <c r="E352" s="146">
        <f>BS!U13</f>
        <v>5827.77672195751</v>
      </c>
      <c r="F352" s="206" t="inlineStr">
        <is>
          <t>BS!U13</t>
        </is>
      </c>
      <c r="G352" s="143" t="inlineStr"/>
    </row>
    <row r="353">
      <c r="A353" s="127" t="inlineStr">
        <is>
          <t>FY26 Q3</t>
        </is>
      </c>
      <c r="B353" s="127" t="inlineStr">
        <is>
          <t>Q1 Forecast Update</t>
        </is>
      </c>
      <c r="C353" s="139" t="inlineStr">
        <is>
          <t>Base</t>
        </is>
      </c>
      <c r="D353" s="205" t="inlineStr">
        <is>
          <t>AP $</t>
        </is>
      </c>
      <c r="E353" s="146">
        <f>BS!U22</f>
        <v>67019.4323025114</v>
      </c>
      <c r="F353" s="206" t="inlineStr">
        <is>
          <t>BS!U22</t>
        </is>
      </c>
      <c r="G353" s="143" t="inlineStr"/>
    </row>
    <row r="354">
      <c r="A354" s="127" t="inlineStr">
        <is>
          <t>FY26 Q3</t>
        </is>
      </c>
      <c r="B354" s="127" t="inlineStr">
        <is>
          <t>Q1 Forecast Update</t>
        </is>
      </c>
      <c r="C354" s="139" t="inlineStr">
        <is>
          <t>Base</t>
        </is>
      </c>
      <c r="D354" s="205" t="inlineStr">
        <is>
          <t>CapEx $</t>
        </is>
      </c>
      <c r="E354" s="146">
        <f>CF!U22</f>
        <v>-3012.75950101891</v>
      </c>
      <c r="F354" s="206" t="inlineStr">
        <is>
          <t>CF!U22</t>
        </is>
      </c>
      <c r="G354" s="143" t="inlineStr"/>
    </row>
    <row r="355">
      <c r="A355" s="127" t="inlineStr">
        <is>
          <t>FY26 Q3</t>
        </is>
      </c>
      <c r="B355" s="127" t="inlineStr">
        <is>
          <t>Q1 Forecast Update</t>
        </is>
      </c>
      <c r="C355" s="139" t="inlineStr">
        <is>
          <t>Base</t>
        </is>
      </c>
      <c r="D355" s="205" t="inlineStr">
        <is>
          <t>Buyback $</t>
        </is>
      </c>
      <c r="E355" s="146">
        <f>CF!U25</f>
        <v>-25330.4510801827</v>
      </c>
      <c r="F355" s="206" t="inlineStr">
        <is>
          <t>CF!U25</t>
        </is>
      </c>
      <c r="G355" s="143" t="inlineStr"/>
    </row>
    <row r="356">
      <c r="A356" s="127" t="inlineStr">
        <is>
          <t>FY26 Q3</t>
        </is>
      </c>
      <c r="B356" s="127" t="inlineStr">
        <is>
          <t>Q1 Forecast Update</t>
        </is>
      </c>
      <c r="C356" s="139" t="inlineStr">
        <is>
          <t>Base</t>
        </is>
      </c>
      <c r="D356" s="205" t="inlineStr">
        <is>
          <t>Dividend $</t>
        </is>
      </c>
      <c r="E356" s="146">
        <f>CF!U26</f>
        <v>-4363.02627660819</v>
      </c>
      <c r="F356" s="206" t="inlineStr">
        <is>
          <t>CF!U26</t>
        </is>
      </c>
      <c r="G356" s="143" t="inlineStr"/>
    </row>
    <row r="357">
      <c r="A357" s="127" t="inlineStr">
        <is>
          <t>FY26 Q3</t>
        </is>
      </c>
      <c r="B357" s="127" t="inlineStr">
        <is>
          <t>Q1 Forecast Update</t>
        </is>
      </c>
      <c r="C357" s="139" t="inlineStr">
        <is>
          <t>Base</t>
        </is>
      </c>
      <c r="D357" s="205" t="inlineStr">
        <is>
          <t>Total Assets $</t>
        </is>
      </c>
      <c r="E357" s="146">
        <f>BS!U20</f>
        <v>351815.137540699</v>
      </c>
      <c r="F357" s="206" t="inlineStr">
        <is>
          <t>BS!U20</t>
        </is>
      </c>
      <c r="G357" s="143" t="inlineStr"/>
    </row>
    <row r="358">
      <c r="A358" s="127" t="inlineStr">
        <is>
          <t>FY26 Q3</t>
        </is>
      </c>
      <c r="B358" s="127" t="inlineStr">
        <is>
          <t>Q1 Forecast Update</t>
        </is>
      </c>
      <c r="C358" s="139" t="inlineStr">
        <is>
          <t>Base</t>
        </is>
      </c>
      <c r="D358" s="205" t="inlineStr">
        <is>
          <t>Total Liabilities $</t>
        </is>
      </c>
      <c r="E358" s="146">
        <f>BS!U31</f>
        <v>282667.432302511</v>
      </c>
      <c r="F358" s="206" t="inlineStr">
        <is>
          <t>BS!U31</t>
        </is>
      </c>
      <c r="G358" s="143" t="inlineStr"/>
    </row>
    <row r="359">
      <c r="A359" s="127" t="inlineStr">
        <is>
          <t>FY26 Q3</t>
        </is>
      </c>
      <c r="B359" s="127" t="inlineStr">
        <is>
          <t>Q1 Forecast Update</t>
        </is>
      </c>
      <c r="C359" s="139" t="inlineStr">
        <is>
          <t>Base</t>
        </is>
      </c>
      <c r="D359" s="205" t="inlineStr">
        <is>
          <t>Total Equity $</t>
        </is>
      </c>
      <c r="E359" s="146">
        <f>BS!U36</f>
        <v>69147.7052381878</v>
      </c>
      <c r="F359" s="206" t="inlineStr">
        <is>
          <t>BS!U36</t>
        </is>
      </c>
      <c r="G359" s="143" t="inlineStr"/>
    </row>
    <row r="360">
      <c r="A360" s="127" t="inlineStr">
        <is>
          <t>FY26 Q3</t>
        </is>
      </c>
      <c r="B360" s="127" t="inlineStr">
        <is>
          <t>Q1 Forecast Update</t>
        </is>
      </c>
      <c r="C360" s="139" t="inlineStr">
        <is>
          <t>Base</t>
        </is>
      </c>
      <c r="D360" s="205" t="inlineStr">
        <is>
          <t>DSO</t>
        </is>
      </c>
      <c r="E360" s="190">
        <f>Drivers!G41</f>
        <v>33</v>
      </c>
      <c r="F360" s="206" t="inlineStr">
        <is>
          <t>Drivers!G41</t>
        </is>
      </c>
      <c r="G360" s="143" t="inlineStr">
        <is>
          <t>Drivers tab Active-column assumption (days), cascades with the live Drivers!B6 scenario switch -- constant across every quarter within this vintage (not period-specific), since DSO/DIO/DPO are not part of any vintage's Driver Adjustment Log.</t>
        </is>
      </c>
    </row>
    <row r="361">
      <c r="A361" s="127" t="inlineStr">
        <is>
          <t>FY26 Q3</t>
        </is>
      </c>
      <c r="B361" s="127" t="inlineStr">
        <is>
          <t>Q1 Forecast Update</t>
        </is>
      </c>
      <c r="C361" s="139" t="inlineStr">
        <is>
          <t>Base</t>
        </is>
      </c>
      <c r="D361" s="205" t="inlineStr">
        <is>
          <t>DIO</t>
        </is>
      </c>
      <c r="E361" s="190">
        <f>Drivers!G42</f>
        <v>10</v>
      </c>
      <c r="F361" s="206" t="inlineStr">
        <is>
          <t>Drivers!G42</t>
        </is>
      </c>
      <c r="G361" s="143" t="inlineStr">
        <is>
          <t>Drivers tab Active-column assumption (days), cascades with the live Drivers!B6 scenario switch -- constant across every quarter within this vintage (not period-specific), since DSO/DIO/DPO are not part of any vintage's Driver Adjustment Log.</t>
        </is>
      </c>
    </row>
    <row r="362">
      <c r="A362" s="127" t="inlineStr">
        <is>
          <t>FY26 Q3</t>
        </is>
      </c>
      <c r="B362" s="127" t="inlineStr">
        <is>
          <t>Q1 Forecast Update</t>
        </is>
      </c>
      <c r="C362" s="139" t="inlineStr">
        <is>
          <t>Base</t>
        </is>
      </c>
      <c r="D362" s="205" t="inlineStr">
        <is>
          <t>DPO</t>
        </is>
      </c>
      <c r="E362" s="190">
        <f>Drivers!G43</f>
        <v>115</v>
      </c>
      <c r="F362" s="206" t="inlineStr">
        <is>
          <t>Drivers!G43</t>
        </is>
      </c>
      <c r="G362" s="143" t="inlineStr">
        <is>
          <t>Drivers tab Active-column assumption (days), cascades with the live Drivers!B6 scenario switch -- constant across every quarter within this vintage (not period-specific), since DSO/DIO/DPO are not part of any vintage's Driver Adjustment Log.</t>
        </is>
      </c>
    </row>
    <row r="363">
      <c r="A363" s="127" t="inlineStr">
        <is>
          <t>FY26 Q4</t>
        </is>
      </c>
      <c r="B363" s="127" t="inlineStr">
        <is>
          <t>Q1 Forecast Update</t>
        </is>
      </c>
      <c r="C363" s="139" t="inlineStr">
        <is>
          <t>Base</t>
        </is>
      </c>
      <c r="D363" s="205" t="inlineStr">
        <is>
          <t>Revenue</t>
        </is>
      </c>
      <c r="E363" s="146">
        <f>IS!V41</f>
        <v>110272.045534654</v>
      </c>
      <c r="F363" s="206" t="inlineStr">
        <is>
          <t>IS!V41</t>
        </is>
      </c>
      <c r="G363" s="143" t="inlineStr"/>
    </row>
    <row r="364">
      <c r="A364" s="127" t="inlineStr">
        <is>
          <t>FY26 Q4</t>
        </is>
      </c>
      <c r="B364" s="127" t="inlineStr">
        <is>
          <t>Q1 Forecast Update</t>
        </is>
      </c>
      <c r="C364" s="139" t="inlineStr">
        <is>
          <t>Base</t>
        </is>
      </c>
      <c r="D364" s="205" t="inlineStr">
        <is>
          <t>iPhone Revenue</t>
        </is>
      </c>
      <c r="E364" s="146">
        <f>IS!V35</f>
        <v>54335.2879900117</v>
      </c>
      <c r="F364" s="206" t="inlineStr">
        <is>
          <t>IS!V35</t>
        </is>
      </c>
      <c r="G364" s="143" t="inlineStr"/>
    </row>
    <row r="365">
      <c r="A365" s="127" t="inlineStr">
        <is>
          <t>FY26 Q4</t>
        </is>
      </c>
      <c r="B365" s="127" t="inlineStr">
        <is>
          <t>Q1 Forecast Update</t>
        </is>
      </c>
      <c r="C365" s="139" t="inlineStr">
        <is>
          <t>Base</t>
        </is>
      </c>
      <c r="D365" s="205" t="inlineStr">
        <is>
          <t>Mac Revenue</t>
        </is>
      </c>
      <c r="E365" s="146">
        <f>IS!V36</f>
        <v>8954.05971617801</v>
      </c>
      <c r="F365" s="206" t="inlineStr">
        <is>
          <t>IS!V36</t>
        </is>
      </c>
      <c r="G365" s="143" t="inlineStr"/>
    </row>
    <row r="366">
      <c r="A366" s="127" t="inlineStr">
        <is>
          <t>FY26 Q4</t>
        </is>
      </c>
      <c r="B366" s="127" t="inlineStr">
        <is>
          <t>Q1 Forecast Update</t>
        </is>
      </c>
      <c r="C366" s="139" t="inlineStr">
        <is>
          <t>Base</t>
        </is>
      </c>
      <c r="D366" s="205" t="inlineStr">
        <is>
          <t>iPad Revenue</t>
        </is>
      </c>
      <c r="E366" s="146">
        <f>IS!V37</f>
        <v>7193.75318016086</v>
      </c>
      <c r="F366" s="206" t="inlineStr">
        <is>
          <t>IS!V37</t>
        </is>
      </c>
      <c r="G366" s="143" t="inlineStr"/>
    </row>
    <row r="367">
      <c r="A367" s="127" t="inlineStr">
        <is>
          <t>FY26 Q4</t>
        </is>
      </c>
      <c r="B367" s="127" t="inlineStr">
        <is>
          <t>Q1 Forecast Update</t>
        </is>
      </c>
      <c r="C367" s="139" t="inlineStr">
        <is>
          <t>Base</t>
        </is>
      </c>
      <c r="D367" s="205" t="inlineStr">
        <is>
          <t>Wearables Revenue</t>
        </is>
      </c>
      <c r="E367" s="146">
        <f>IS!V38</f>
        <v>8935.27513122484</v>
      </c>
      <c r="F367" s="206" t="inlineStr">
        <is>
          <t>IS!V38</t>
        </is>
      </c>
      <c r="G367" s="143" t="inlineStr"/>
    </row>
    <row r="368">
      <c r="A368" s="127" t="inlineStr">
        <is>
          <t>FY26 Q4</t>
        </is>
      </c>
      <c r="B368" s="127" t="inlineStr">
        <is>
          <t>Q1 Forecast Update</t>
        </is>
      </c>
      <c r="C368" s="139" t="inlineStr">
        <is>
          <t>Base</t>
        </is>
      </c>
      <c r="D368" s="205" t="inlineStr">
        <is>
          <t>Services Revenue</t>
        </is>
      </c>
      <c r="E368" s="146">
        <f>IS!V40</f>
        <v>30853.6695170785</v>
      </c>
      <c r="F368" s="206" t="inlineStr">
        <is>
          <t>IS!V40</t>
        </is>
      </c>
      <c r="G368" s="143" t="inlineStr"/>
    </row>
    <row r="369">
      <c r="A369" s="127" t="inlineStr">
        <is>
          <t>FY26 Q4</t>
        </is>
      </c>
      <c r="B369" s="127" t="inlineStr">
        <is>
          <t>Q1 Forecast Update</t>
        </is>
      </c>
      <c r="C369" s="139" t="inlineStr">
        <is>
          <t>Base</t>
        </is>
      </c>
      <c r="D369" s="205" t="inlineStr">
        <is>
          <t>Gross Margin $</t>
        </is>
      </c>
      <c r="E369" s="146">
        <f>IS!V44</f>
        <v>52679.3196118972</v>
      </c>
      <c r="F369" s="206" t="inlineStr">
        <is>
          <t>IS!V44</t>
        </is>
      </c>
      <c r="G369" s="143" t="inlineStr"/>
    </row>
    <row r="370">
      <c r="A370" s="127" t="inlineStr">
        <is>
          <t>FY26 Q4</t>
        </is>
      </c>
      <c r="B370" s="127" t="inlineStr">
        <is>
          <t>Q1 Forecast Update</t>
        </is>
      </c>
      <c r="C370" s="139" t="inlineStr">
        <is>
          <t>Base</t>
        </is>
      </c>
      <c r="D370" s="205" t="inlineStr">
        <is>
          <t>Gross Margin %</t>
        </is>
      </c>
      <c r="E370" s="142">
        <f>IS!V45</f>
        <v>0.477721432993117</v>
      </c>
      <c r="F370" s="206" t="inlineStr">
        <is>
          <t>IS!V45</t>
        </is>
      </c>
      <c r="G370" s="143" t="inlineStr"/>
    </row>
    <row r="371">
      <c r="A371" s="127" t="inlineStr">
        <is>
          <t>FY26 Q4</t>
        </is>
      </c>
      <c r="B371" s="127" t="inlineStr">
        <is>
          <t>Q1 Forecast Update</t>
        </is>
      </c>
      <c r="C371" s="139" t="inlineStr">
        <is>
          <t>Base</t>
        </is>
      </c>
      <c r="D371" s="205" t="inlineStr">
        <is>
          <t>Operating Income</t>
        </is>
      </c>
      <c r="E371" s="146">
        <f>IS!V49</f>
        <v>38581.1955344228</v>
      </c>
      <c r="F371" s="206" t="inlineStr">
        <is>
          <t>IS!V49</t>
        </is>
      </c>
      <c r="G371" s="143" t="inlineStr"/>
    </row>
    <row r="372">
      <c r="A372" s="127" t="inlineStr">
        <is>
          <t>FY26 Q4</t>
        </is>
      </c>
      <c r="B372" s="127" t="inlineStr">
        <is>
          <t>Q1 Forecast Update</t>
        </is>
      </c>
      <c r="C372" s="139" t="inlineStr">
        <is>
          <t>Base</t>
        </is>
      </c>
      <c r="D372" s="205" t="inlineStr">
        <is>
          <t>Net Income</t>
        </is>
      </c>
      <c r="E372" s="146">
        <f>IS!V53</f>
        <v>31938.8143713639</v>
      </c>
      <c r="F372" s="206" t="inlineStr">
        <is>
          <t>IS!V53</t>
        </is>
      </c>
      <c r="G372" s="143" t="inlineStr"/>
    </row>
    <row r="373">
      <c r="A373" s="127" t="inlineStr">
        <is>
          <t>FY26 Q4</t>
        </is>
      </c>
      <c r="B373" s="127" t="inlineStr">
        <is>
          <t>Q1 Forecast Update</t>
        </is>
      </c>
      <c r="C373" s="139" t="inlineStr">
        <is>
          <t>Base</t>
        </is>
      </c>
      <c r="D373" s="205" t="inlineStr">
        <is>
          <t>EPS</t>
        </is>
      </c>
      <c r="E373" s="148">
        <f>IS!V57</f>
        <v>2.17043129645146</v>
      </c>
      <c r="F373" s="206" t="inlineStr">
        <is>
          <t>IS!V57</t>
        </is>
      </c>
      <c r="G373" s="143" t="inlineStr"/>
    </row>
    <row r="374">
      <c r="A374" s="127" t="inlineStr">
        <is>
          <t>FY26 Q4</t>
        </is>
      </c>
      <c r="B374" s="127" t="inlineStr">
        <is>
          <t>Q1 Forecast Update</t>
        </is>
      </c>
      <c r="C374" s="139" t="inlineStr">
        <is>
          <t>Base</t>
        </is>
      </c>
      <c r="D374" s="205" t="inlineStr">
        <is>
          <t>FCF</t>
        </is>
      </c>
      <c r="E374" s="146">
        <f>CF!V32</f>
        <v>34249.6135969919</v>
      </c>
      <c r="F374" s="206" t="inlineStr">
        <is>
          <t>CF!V32</t>
        </is>
      </c>
      <c r="G374" s="143" t="inlineStr"/>
    </row>
    <row r="375">
      <c r="A375" s="127" t="inlineStr">
        <is>
          <t>FY26 Q4</t>
        </is>
      </c>
      <c r="B375" s="127" t="inlineStr">
        <is>
          <t>Q1 Forecast Update</t>
        </is>
      </c>
      <c r="C375" s="139" t="inlineStr">
        <is>
          <t>Base</t>
        </is>
      </c>
      <c r="D375" s="205" t="inlineStr">
        <is>
          <t>Cash</t>
        </is>
      </c>
      <c r="E375" s="146">
        <f>BS!V9</f>
        <v>29746.323240817</v>
      </c>
      <c r="F375" s="206" t="inlineStr">
        <is>
          <t>BS!V9</t>
        </is>
      </c>
      <c r="G375" s="143" t="inlineStr"/>
    </row>
    <row r="376">
      <c r="A376" s="127" t="inlineStr">
        <is>
          <t>FY26 Q4</t>
        </is>
      </c>
      <c r="B376" s="127" t="inlineStr">
        <is>
          <t>Q1 Forecast Update</t>
        </is>
      </c>
      <c r="C376" s="139" t="inlineStr">
        <is>
          <t>Base</t>
        </is>
      </c>
      <c r="D376" s="205" t="inlineStr">
        <is>
          <t>R&amp;D $</t>
        </is>
      </c>
      <c r="E376" s="146">
        <f>IS!V47</f>
        <v>8351.17671426429</v>
      </c>
      <c r="F376" s="206" t="inlineStr">
        <is>
          <t>IS!V47</t>
        </is>
      </c>
      <c r="G376" s="143" t="inlineStr"/>
    </row>
    <row r="377">
      <c r="A377" s="127" t="inlineStr">
        <is>
          <t>FY26 Q4</t>
        </is>
      </c>
      <c r="B377" s="127" t="inlineStr">
        <is>
          <t>Q1 Forecast Update</t>
        </is>
      </c>
      <c r="C377" s="139" t="inlineStr">
        <is>
          <t>Base</t>
        </is>
      </c>
      <c r="D377" s="205" t="inlineStr">
        <is>
          <t>SG&amp;A $</t>
        </is>
      </c>
      <c r="E377" s="146">
        <f>IS!V48</f>
        <v>5746.94736321007</v>
      </c>
      <c r="F377" s="206" t="inlineStr">
        <is>
          <t>IS!V48</t>
        </is>
      </c>
      <c r="G377" s="143" t="inlineStr"/>
    </row>
    <row r="378">
      <c r="A378" s="127" t="inlineStr">
        <is>
          <t>FY26 Q4</t>
        </is>
      </c>
      <c r="B378" s="127" t="inlineStr">
        <is>
          <t>Q1 Forecast Update</t>
        </is>
      </c>
      <c r="C378" s="139" t="inlineStr">
        <is>
          <t>Base</t>
        </is>
      </c>
      <c r="D378" s="205" t="inlineStr">
        <is>
          <t>Operating Margin %</t>
        </is>
      </c>
      <c r="E378" s="142">
        <f>IS!V50</f>
        <v>0.34987285623806</v>
      </c>
      <c r="F378" s="206" t="inlineStr">
        <is>
          <t>IS!V50</t>
        </is>
      </c>
      <c r="G378" s="143" t="inlineStr"/>
    </row>
    <row r="379">
      <c r="A379" s="127" t="inlineStr">
        <is>
          <t>FY26 Q4</t>
        </is>
      </c>
      <c r="B379" s="127" t="inlineStr">
        <is>
          <t>Q1 Forecast Update</t>
        </is>
      </c>
      <c r="C379" s="139" t="inlineStr">
        <is>
          <t>Base</t>
        </is>
      </c>
      <c r="D379" s="205" t="inlineStr">
        <is>
          <t>AR $</t>
        </is>
      </c>
      <c r="E379" s="146">
        <f>BS!V11</f>
        <v>40433.0833627064</v>
      </c>
      <c r="F379" s="206" t="inlineStr">
        <is>
          <t>BS!V11</t>
        </is>
      </c>
      <c r="G379" s="143" t="inlineStr"/>
    </row>
    <row r="380">
      <c r="A380" s="127" t="inlineStr">
        <is>
          <t>FY26 Q4</t>
        </is>
      </c>
      <c r="B380" s="127" t="inlineStr">
        <is>
          <t>Q1 Forecast Update</t>
        </is>
      </c>
      <c r="C380" s="139" t="inlineStr">
        <is>
          <t>Base</t>
        </is>
      </c>
      <c r="D380" s="205" t="inlineStr">
        <is>
          <t>Inventory $</t>
        </is>
      </c>
      <c r="E380" s="146">
        <f>BS!V13</f>
        <v>6399.19176919519</v>
      </c>
      <c r="F380" s="206" t="inlineStr">
        <is>
          <t>BS!V13</t>
        </is>
      </c>
      <c r="G380" s="143" t="inlineStr"/>
    </row>
    <row r="381">
      <c r="A381" s="127" t="inlineStr">
        <is>
          <t>FY26 Q4</t>
        </is>
      </c>
      <c r="B381" s="127" t="inlineStr">
        <is>
          <t>Q1 Forecast Update</t>
        </is>
      </c>
      <c r="C381" s="139" t="inlineStr">
        <is>
          <t>Base</t>
        </is>
      </c>
      <c r="D381" s="205" t="inlineStr">
        <is>
          <t>AP $</t>
        </is>
      </c>
      <c r="E381" s="146">
        <f>BS!V22</f>
        <v>73590.7053457447</v>
      </c>
      <c r="F381" s="206" t="inlineStr">
        <is>
          <t>BS!V22</t>
        </is>
      </c>
      <c r="G381" s="143" t="inlineStr"/>
    </row>
    <row r="382">
      <c r="A382" s="127" t="inlineStr">
        <is>
          <t>FY26 Q4</t>
        </is>
      </c>
      <c r="B382" s="127" t="inlineStr">
        <is>
          <t>Q1 Forecast Update</t>
        </is>
      </c>
      <c r="C382" s="139" t="inlineStr">
        <is>
          <t>Base</t>
        </is>
      </c>
      <c r="D382" s="205" t="inlineStr">
        <is>
          <t>CapEx $</t>
        </is>
      </c>
      <c r="E382" s="146">
        <f>CF!V22</f>
        <v>-3308.16136603962</v>
      </c>
      <c r="F382" s="206" t="inlineStr">
        <is>
          <t>CF!V22</t>
        </is>
      </c>
      <c r="G382" s="143" t="inlineStr"/>
    </row>
    <row r="383">
      <c r="A383" s="127" t="inlineStr">
        <is>
          <t>FY26 Q4</t>
        </is>
      </c>
      <c r="B383" s="127" t="inlineStr">
        <is>
          <t>Q1 Forecast Update</t>
        </is>
      </c>
      <c r="C383" s="139" t="inlineStr">
        <is>
          <t>Base</t>
        </is>
      </c>
      <c r="D383" s="205" t="inlineStr">
        <is>
          <t>Buyback $</t>
        </is>
      </c>
      <c r="E383" s="146">
        <f>CF!V25</f>
        <v>-30824.6522372927</v>
      </c>
      <c r="F383" s="206" t="inlineStr">
        <is>
          <t>CF!V25</t>
        </is>
      </c>
      <c r="G383" s="143" t="inlineStr"/>
    </row>
    <row r="384">
      <c r="A384" s="127" t="inlineStr">
        <is>
          <t>FY26 Q4</t>
        </is>
      </c>
      <c r="B384" s="127" t="inlineStr">
        <is>
          <t>Q1 Forecast Update</t>
        </is>
      </c>
      <c r="C384" s="139" t="inlineStr">
        <is>
          <t>Base</t>
        </is>
      </c>
      <c r="D384" s="205" t="inlineStr">
        <is>
          <t>Dividend $</t>
        </is>
      </c>
      <c r="E384" s="146">
        <f>CF!V26</f>
        <v>-4790.82215570458</v>
      </c>
      <c r="F384" s="206" t="inlineStr">
        <is>
          <t>CF!V26</t>
        </is>
      </c>
      <c r="G384" s="143" t="inlineStr"/>
    </row>
    <row r="385">
      <c r="A385" s="127" t="inlineStr">
        <is>
          <t>FY26 Q4</t>
        </is>
      </c>
      <c r="B385" s="127" t="inlineStr">
        <is>
          <t>Q1 Forecast Update</t>
        </is>
      </c>
      <c r="C385" s="139" t="inlineStr">
        <is>
          <t>Base</t>
        </is>
      </c>
      <c r="D385" s="205" t="inlineStr">
        <is>
          <t>Total Assets $</t>
        </is>
      </c>
      <c r="E385" s="146">
        <f>BS!V20</f>
        <v>354709.750562299</v>
      </c>
      <c r="F385" s="206" t="inlineStr">
        <is>
          <t>BS!V20</t>
        </is>
      </c>
      <c r="G385" s="143" t="inlineStr"/>
    </row>
    <row r="386">
      <c r="A386" s="127" t="inlineStr">
        <is>
          <t>FY26 Q4</t>
        </is>
      </c>
      <c r="B386" s="127" t="inlineStr">
        <is>
          <t>Q1 Forecast Update</t>
        </is>
      </c>
      <c r="C386" s="139" t="inlineStr">
        <is>
          <t>Base</t>
        </is>
      </c>
      <c r="D386" s="205" t="inlineStr">
        <is>
          <t>Total Liabilities $</t>
        </is>
      </c>
      <c r="E386" s="146">
        <f>BS!V31</f>
        <v>289238.705345745</v>
      </c>
      <c r="F386" s="206" t="inlineStr">
        <is>
          <t>BS!V31</t>
        </is>
      </c>
      <c r="G386" s="143" t="inlineStr"/>
    </row>
    <row r="387">
      <c r="A387" s="127" t="inlineStr">
        <is>
          <t>FY26 Q4</t>
        </is>
      </c>
      <c r="B387" s="127" t="inlineStr">
        <is>
          <t>Q1 Forecast Update</t>
        </is>
      </c>
      <c r="C387" s="139" t="inlineStr">
        <is>
          <t>Base</t>
        </is>
      </c>
      <c r="D387" s="205" t="inlineStr">
        <is>
          <t>Total Equity $</t>
        </is>
      </c>
      <c r="E387" s="146">
        <f>BS!V36</f>
        <v>65471.0452165544</v>
      </c>
      <c r="F387" s="206" t="inlineStr">
        <is>
          <t>BS!V36</t>
        </is>
      </c>
      <c r="G387" s="143" t="inlineStr"/>
    </row>
    <row r="388">
      <c r="A388" s="127" t="inlineStr">
        <is>
          <t>FY26 Q4</t>
        </is>
      </c>
      <c r="B388" s="127" t="inlineStr">
        <is>
          <t>Q1 Forecast Update</t>
        </is>
      </c>
      <c r="C388" s="139" t="inlineStr">
        <is>
          <t>Base</t>
        </is>
      </c>
      <c r="D388" s="205" t="inlineStr">
        <is>
          <t>DSO</t>
        </is>
      </c>
      <c r="E388" s="190">
        <f>Drivers!G41</f>
        <v>33</v>
      </c>
      <c r="F388" s="206" t="inlineStr">
        <is>
          <t>Drivers!G41</t>
        </is>
      </c>
      <c r="G388" s="143" t="inlineStr">
        <is>
          <t>Drivers tab Active-column assumption (days), cascades with the live Drivers!B6 scenario switch -- constant across every quarter within this vintage (not period-specific), since DSO/DIO/DPO are not part of any vintage's Driver Adjustment Log.</t>
        </is>
      </c>
    </row>
    <row r="389">
      <c r="A389" s="127" t="inlineStr">
        <is>
          <t>FY26 Q4</t>
        </is>
      </c>
      <c r="B389" s="127" t="inlineStr">
        <is>
          <t>Q1 Forecast Update</t>
        </is>
      </c>
      <c r="C389" s="139" t="inlineStr">
        <is>
          <t>Base</t>
        </is>
      </c>
      <c r="D389" s="205" t="inlineStr">
        <is>
          <t>DIO</t>
        </is>
      </c>
      <c r="E389" s="190">
        <f>Drivers!G42</f>
        <v>10</v>
      </c>
      <c r="F389" s="206" t="inlineStr">
        <is>
          <t>Drivers!G42</t>
        </is>
      </c>
      <c r="G389" s="143" t="inlineStr">
        <is>
          <t>Drivers tab Active-column assumption (days), cascades with the live Drivers!B6 scenario switch -- constant across every quarter within this vintage (not period-specific), since DSO/DIO/DPO are not part of any vintage's Driver Adjustment Log.</t>
        </is>
      </c>
    </row>
    <row r="390">
      <c r="A390" s="127" t="inlineStr">
        <is>
          <t>FY26 Q4</t>
        </is>
      </c>
      <c r="B390" s="127" t="inlineStr">
        <is>
          <t>Q1 Forecast Update</t>
        </is>
      </c>
      <c r="C390" s="139" t="inlineStr">
        <is>
          <t>Base</t>
        </is>
      </c>
      <c r="D390" s="205" t="inlineStr">
        <is>
          <t>DPO</t>
        </is>
      </c>
      <c r="E390" s="190">
        <f>Drivers!G43</f>
        <v>115</v>
      </c>
      <c r="F390" s="206" t="inlineStr">
        <is>
          <t>Drivers!G43</t>
        </is>
      </c>
      <c r="G390" s="143" t="inlineStr">
        <is>
          <t>Drivers tab Active-column assumption (days), cascades with the live Drivers!B6 scenario switch -- constant across every quarter within this vintage (not period-specific), since DSO/DIO/DPO are not part of any vintage's Driver Adjustment Log.</t>
        </is>
      </c>
    </row>
    <row r="391">
      <c r="A391" s="127" t="inlineStr">
        <is>
          <t>FY26 Total</t>
        </is>
      </c>
      <c r="B391" s="127" t="inlineStr">
        <is>
          <t>Q1 Forecast Update</t>
        </is>
      </c>
      <c r="C391" s="139" t="inlineStr">
        <is>
          <t>Base</t>
        </is>
      </c>
      <c r="D391" s="205" t="inlineStr">
        <is>
          <t>Revenue</t>
        </is>
      </c>
      <c r="E391" s="146">
        <f>IS!W41</f>
        <v>458465.29595379</v>
      </c>
      <c r="F391" s="206" t="inlineStr">
        <is>
          <t>IS!W41</t>
        </is>
      </c>
      <c r="G391" s="143" t="inlineStr"/>
    </row>
    <row r="392">
      <c r="A392" s="127" t="inlineStr">
        <is>
          <t>FY26 Total</t>
        </is>
      </c>
      <c r="B392" s="127" t="inlineStr">
        <is>
          <t>Q1 Forecast Update</t>
        </is>
      </c>
      <c r="C392" s="139" t="inlineStr">
        <is>
          <t>Base</t>
        </is>
      </c>
      <c r="D392" s="205" t="inlineStr">
        <is>
          <t>iPhone Revenue</t>
        </is>
      </c>
      <c r="E392" s="146">
        <f>IS!W35</f>
        <v>155069.402638489</v>
      </c>
      <c r="F392" s="206" t="inlineStr">
        <is>
          <t>IS!W35</t>
        </is>
      </c>
      <c r="G392" s="143" t="inlineStr"/>
    </row>
    <row r="393">
      <c r="A393" s="127" t="inlineStr">
        <is>
          <t>FY26 Total</t>
        </is>
      </c>
      <c r="B393" s="127" t="inlineStr">
        <is>
          <t>Q1 Forecast Update</t>
        </is>
      </c>
      <c r="C393" s="139" t="inlineStr">
        <is>
          <t>Base</t>
        </is>
      </c>
      <c r="D393" s="205" t="inlineStr">
        <is>
          <t>Mac Revenue</t>
        </is>
      </c>
      <c r="E393" s="146">
        <f>IS!W36</f>
        <v>25554.3081253627</v>
      </c>
      <c r="F393" s="206" t="inlineStr">
        <is>
          <t>IS!W36</t>
        </is>
      </c>
      <c r="G393" s="143" t="inlineStr"/>
    </row>
    <row r="394">
      <c r="A394" s="127" t="inlineStr">
        <is>
          <t>FY26 Total</t>
        </is>
      </c>
      <c r="B394" s="127" t="inlineStr">
        <is>
          <t>Q1 Forecast Update</t>
        </is>
      </c>
      <c r="C394" s="139" t="inlineStr">
        <is>
          <t>Base</t>
        </is>
      </c>
      <c r="D394" s="205" t="inlineStr">
        <is>
          <t>iPad Revenue</t>
        </is>
      </c>
      <c r="E394" s="146">
        <f>IS!W37</f>
        <v>20530.5069622773</v>
      </c>
      <c r="F394" s="206" t="inlineStr">
        <is>
          <t>IS!W37</t>
        </is>
      </c>
      <c r="G394" s="143" t="inlineStr"/>
    </row>
    <row r="395">
      <c r="A395" s="127" t="inlineStr">
        <is>
          <t>FY26 Total</t>
        </is>
      </c>
      <c r="B395" s="127" t="inlineStr">
        <is>
          <t>Q1 Forecast Update</t>
        </is>
      </c>
      <c r="C395" s="139" t="inlineStr">
        <is>
          <t>Base</t>
        </is>
      </c>
      <c r="D395" s="205" t="inlineStr">
        <is>
          <t>Wearables Revenue</t>
        </is>
      </c>
      <c r="E395" s="146">
        <f>IS!W38</f>
        <v>25500.6981331228</v>
      </c>
      <c r="F395" s="206" t="inlineStr">
        <is>
          <t>IS!W38</t>
        </is>
      </c>
      <c r="G395" s="143" t="inlineStr"/>
    </row>
    <row r="396">
      <c r="A396" s="127" t="inlineStr">
        <is>
          <t>FY26 Total</t>
        </is>
      </c>
      <c r="B396" s="127" t="inlineStr">
        <is>
          <t>Q1 Forecast Update</t>
        </is>
      </c>
      <c r="C396" s="139" t="inlineStr">
        <is>
          <t>Base</t>
        </is>
      </c>
      <c r="D396" s="205" t="inlineStr">
        <is>
          <t>Services Revenue</t>
        </is>
      </c>
      <c r="E396" s="146">
        <f>IS!W40</f>
        <v>88054.3800945388</v>
      </c>
      <c r="F396" s="206" t="inlineStr">
        <is>
          <t>IS!W40</t>
        </is>
      </c>
      <c r="G396" s="143" t="inlineStr"/>
    </row>
    <row r="397">
      <c r="A397" s="127" t="inlineStr">
        <is>
          <t>FY26 Total</t>
        </is>
      </c>
      <c r="B397" s="127" t="inlineStr">
        <is>
          <t>Q1 Forecast Update</t>
        </is>
      </c>
      <c r="C397" s="139" t="inlineStr">
        <is>
          <t>Base</t>
        </is>
      </c>
      <c r="D397" s="205" t="inlineStr">
        <is>
          <t>Gross Margin $</t>
        </is>
      </c>
      <c r="E397" s="146">
        <f>IS!W44</f>
        <v>219574.3758393</v>
      </c>
      <c r="F397" s="206" t="inlineStr">
        <is>
          <t>IS!W44</t>
        </is>
      </c>
      <c r="G397" s="143" t="inlineStr"/>
    </row>
    <row r="398">
      <c r="A398" s="127" t="inlineStr">
        <is>
          <t>FY26 Total</t>
        </is>
      </c>
      <c r="B398" s="127" t="inlineStr">
        <is>
          <t>Q1 Forecast Update</t>
        </is>
      </c>
      <c r="C398" s="139" t="inlineStr">
        <is>
          <t>Base</t>
        </is>
      </c>
      <c r="D398" s="205" t="inlineStr">
        <is>
          <t>Gross Margin %</t>
        </is>
      </c>
      <c r="E398" s="142">
        <f>IS!W45</f>
        <v>1.91475115448451</v>
      </c>
      <c r="F398" s="206" t="inlineStr">
        <is>
          <t>IS!W45</t>
        </is>
      </c>
      <c r="G398" s="143" t="inlineStr"/>
    </row>
    <row r="399">
      <c r="A399" s="127" t="inlineStr">
        <is>
          <t>FY26 Total</t>
        </is>
      </c>
      <c r="B399" s="127" t="inlineStr">
        <is>
          <t>Q1 Forecast Update</t>
        </is>
      </c>
      <c r="C399" s="139" t="inlineStr">
        <is>
          <t>Base</t>
        </is>
      </c>
      <c r="D399" s="205" t="inlineStr">
        <is>
          <t>Operating Income</t>
        </is>
      </c>
      <c r="E399" s="146">
        <f>IS!W49</f>
        <v>160960.240260022</v>
      </c>
      <c r="F399" s="206" t="inlineStr">
        <is>
          <t>IS!W49</t>
        </is>
      </c>
      <c r="G399" s="143" t="inlineStr"/>
    </row>
    <row r="400">
      <c r="A400" s="127" t="inlineStr">
        <is>
          <t>FY26 Total</t>
        </is>
      </c>
      <c r="B400" s="127" t="inlineStr">
        <is>
          <t>Q1 Forecast Update</t>
        </is>
      </c>
      <c r="C400" s="139" t="inlineStr">
        <is>
          <t>Base</t>
        </is>
      </c>
      <c r="D400" s="205" t="inlineStr">
        <is>
          <t>Net Income</t>
        </is>
      </c>
      <c r="E400" s="146">
        <f>IS!W53</f>
        <v>133248.313423781</v>
      </c>
      <c r="F400" s="206" t="inlineStr">
        <is>
          <t>IS!W53</t>
        </is>
      </c>
      <c r="G400" s="143" t="inlineStr"/>
    </row>
    <row r="401">
      <c r="A401" s="127" t="inlineStr">
        <is>
          <t>FY26 Total</t>
        </is>
      </c>
      <c r="B401" s="127" t="inlineStr">
        <is>
          <t>Q1 Forecast Update</t>
        </is>
      </c>
      <c r="C401" s="139" t="inlineStr">
        <is>
          <t>Base</t>
        </is>
      </c>
      <c r="D401" s="205" t="inlineStr">
        <is>
          <t>EPS</t>
        </is>
      </c>
      <c r="E401" s="148">
        <f>IS!W57</f>
        <v>9.05501081823655</v>
      </c>
      <c r="F401" s="206" t="inlineStr">
        <is>
          <t>IS!W57</t>
        </is>
      </c>
      <c r="G401" s="143" t="inlineStr"/>
    </row>
    <row r="402">
      <c r="A402" s="127" t="inlineStr">
        <is>
          <t>FY26 Total</t>
        </is>
      </c>
      <c r="B402" s="127" t="inlineStr">
        <is>
          <t>Q1 Forecast Update</t>
        </is>
      </c>
      <c r="C402" s="139" t="inlineStr">
        <is>
          <t>Base</t>
        </is>
      </c>
      <c r="D402" s="205" t="inlineStr">
        <is>
          <t>Cash</t>
        </is>
      </c>
      <c r="E402" s="146">
        <f>BS!W9</f>
        <v>29746.323240817</v>
      </c>
      <c r="F402" s="206" t="inlineStr">
        <is>
          <t>BS!W9</t>
        </is>
      </c>
      <c r="G402" s="143" t="inlineStr"/>
    </row>
    <row r="403">
      <c r="A403" s="127" t="inlineStr">
        <is>
          <t>FY26 Total</t>
        </is>
      </c>
      <c r="B403" s="127" t="inlineStr">
        <is>
          <t>Q1 Forecast Update</t>
        </is>
      </c>
      <c r="C403" s="139" t="inlineStr">
        <is>
          <t>Base</t>
        </is>
      </c>
      <c r="D403" s="205" t="inlineStr">
        <is>
          <t>R&amp;D $</t>
        </is>
      </c>
      <c r="E403" s="146">
        <f>IS!W47</f>
        <v>34720.7189755483</v>
      </c>
      <c r="F403" s="206" t="inlineStr">
        <is>
          <t>IS!W47</t>
        </is>
      </c>
      <c r="G403" s="143" t="inlineStr"/>
    </row>
    <row r="404">
      <c r="A404" s="127" t="inlineStr">
        <is>
          <t>FY26 Total</t>
        </is>
      </c>
      <c r="B404" s="127" t="inlineStr">
        <is>
          <t>Q1 Forecast Update</t>
        </is>
      </c>
      <c r="C404" s="139" t="inlineStr">
        <is>
          <t>Base</t>
        </is>
      </c>
      <c r="D404" s="205" t="inlineStr">
        <is>
          <t>SG&amp;A $</t>
        </is>
      </c>
      <c r="E404" s="146">
        <f>IS!W48</f>
        <v>23893.4166037299</v>
      </c>
      <c r="F404" s="206" t="inlineStr">
        <is>
          <t>IS!W48</t>
        </is>
      </c>
      <c r="G404" s="143" t="inlineStr"/>
    </row>
    <row r="405">
      <c r="A405" s="127" t="inlineStr">
        <is>
          <t>FY26 Total</t>
        </is>
      </c>
      <c r="B405" s="127" t="inlineStr">
        <is>
          <t>Q1 Forecast Update</t>
        </is>
      </c>
      <c r="C405" s="139" t="inlineStr">
        <is>
          <t>Base</t>
        </is>
      </c>
      <c r="D405" s="205" t="inlineStr">
        <is>
          <t>Operating Margin %</t>
        </is>
      </c>
      <c r="E405" s="142">
        <f>IS!W50</f>
        <v>0.351084894932255</v>
      </c>
      <c r="F405" s="206" t="inlineStr">
        <is>
          <t>IS!W50</t>
        </is>
      </c>
      <c r="G405" s="143" t="inlineStr"/>
    </row>
    <row r="406">
      <c r="A406" s="127" t="inlineStr">
        <is>
          <t>FY26 Total</t>
        </is>
      </c>
      <c r="B406" s="127" t="inlineStr">
        <is>
          <t>Q1 Forecast Update</t>
        </is>
      </c>
      <c r="C406" s="139" t="inlineStr">
        <is>
          <t>Base</t>
        </is>
      </c>
      <c r="D406" s="205" t="inlineStr">
        <is>
          <t>AR $</t>
        </is>
      </c>
      <c r="E406" s="146">
        <f>BS!W11</f>
        <v>40433.0833627064</v>
      </c>
      <c r="F406" s="206" t="inlineStr">
        <is>
          <t>BS!W11</t>
        </is>
      </c>
      <c r="G406" s="143" t="inlineStr"/>
    </row>
    <row r="407">
      <c r="A407" s="127" t="inlineStr">
        <is>
          <t>FY26 Total</t>
        </is>
      </c>
      <c r="B407" s="127" t="inlineStr">
        <is>
          <t>Q1 Forecast Update</t>
        </is>
      </c>
      <c r="C407" s="139" t="inlineStr">
        <is>
          <t>Base</t>
        </is>
      </c>
      <c r="D407" s="205" t="inlineStr">
        <is>
          <t>Inventory $</t>
        </is>
      </c>
      <c r="E407" s="146">
        <f>BS!W13</f>
        <v>6399.19176919519</v>
      </c>
      <c r="F407" s="206" t="inlineStr">
        <is>
          <t>BS!W13</t>
        </is>
      </c>
      <c r="G407" s="143" t="inlineStr"/>
    </row>
    <row r="408">
      <c r="A408" s="127" t="inlineStr">
        <is>
          <t>FY26 Total</t>
        </is>
      </c>
      <c r="B408" s="127" t="inlineStr">
        <is>
          <t>Q1 Forecast Update</t>
        </is>
      </c>
      <c r="C408" s="139" t="inlineStr">
        <is>
          <t>Base</t>
        </is>
      </c>
      <c r="D408" s="205" t="inlineStr">
        <is>
          <t>AP $</t>
        </is>
      </c>
      <c r="E408" s="146">
        <f>BS!W22</f>
        <v>73590.7053457447</v>
      </c>
      <c r="F408" s="206" t="inlineStr">
        <is>
          <t>BS!W22</t>
        </is>
      </c>
      <c r="G408" s="143" t="inlineStr"/>
    </row>
    <row r="409">
      <c r="A409" s="127" t="inlineStr">
        <is>
          <t>FY26 Total</t>
        </is>
      </c>
      <c r="B409" s="127" t="inlineStr">
        <is>
          <t>Q1 Forecast Update</t>
        </is>
      </c>
      <c r="C409" s="139" t="inlineStr">
        <is>
          <t>Base</t>
        </is>
      </c>
      <c r="D409" s="205" t="inlineStr">
        <is>
          <t>Buyback $</t>
        </is>
      </c>
      <c r="E409" s="146">
        <f>CF!W25</f>
        <v>-101551.122658491</v>
      </c>
      <c r="F409" s="206" t="inlineStr">
        <is>
          <t>CF!W25</t>
        </is>
      </c>
      <c r="G409" s="143" t="inlineStr"/>
    </row>
    <row r="410">
      <c r="A410" s="127" t="inlineStr">
        <is>
          <t>FY26 Total</t>
        </is>
      </c>
      <c r="B410" s="127" t="inlineStr">
        <is>
          <t>Q1 Forecast Update</t>
        </is>
      </c>
      <c r="C410" s="139" t="inlineStr">
        <is>
          <t>Base</t>
        </is>
      </c>
      <c r="D410" s="205" t="inlineStr">
        <is>
          <t>Dividend $</t>
        </is>
      </c>
      <c r="E410" s="146">
        <f>CF!W26</f>
        <v>-17593.6970135672</v>
      </c>
      <c r="F410" s="206" t="inlineStr">
        <is>
          <t>CF!W26</t>
        </is>
      </c>
      <c r="G410" s="143" t="inlineStr"/>
    </row>
    <row r="411">
      <c r="A411" s="127" t="inlineStr">
        <is>
          <t>FY26 Total</t>
        </is>
      </c>
      <c r="B411" s="127" t="inlineStr">
        <is>
          <t>Q1 Forecast Update</t>
        </is>
      </c>
      <c r="C411" s="139" t="inlineStr">
        <is>
          <t>Base</t>
        </is>
      </c>
      <c r="D411" s="205" t="inlineStr">
        <is>
          <t>Total Assets $</t>
        </is>
      </c>
      <c r="E411" s="146">
        <f>BS!W20</f>
        <v>354709.750562299</v>
      </c>
      <c r="F411" s="206" t="inlineStr">
        <is>
          <t>BS!W20</t>
        </is>
      </c>
      <c r="G411" s="143" t="inlineStr"/>
    </row>
    <row r="412">
      <c r="A412" s="127" t="inlineStr">
        <is>
          <t>FY26 Total</t>
        </is>
      </c>
      <c r="B412" s="127" t="inlineStr">
        <is>
          <t>Q1 Forecast Update</t>
        </is>
      </c>
      <c r="C412" s="139" t="inlineStr">
        <is>
          <t>Base</t>
        </is>
      </c>
      <c r="D412" s="205" t="inlineStr">
        <is>
          <t>Total Liabilities $</t>
        </is>
      </c>
      <c r="E412" s="146">
        <f>BS!W31</f>
        <v>289238.705345745</v>
      </c>
      <c r="F412" s="206" t="inlineStr">
        <is>
          <t>BS!W31</t>
        </is>
      </c>
      <c r="G412" s="143" t="inlineStr"/>
    </row>
    <row r="413">
      <c r="A413" s="127" t="inlineStr">
        <is>
          <t>FY26 Total</t>
        </is>
      </c>
      <c r="B413" s="127" t="inlineStr">
        <is>
          <t>Q1 Forecast Update</t>
        </is>
      </c>
      <c r="C413" s="139" t="inlineStr">
        <is>
          <t>Base</t>
        </is>
      </c>
      <c r="D413" s="205" t="inlineStr">
        <is>
          <t>Total Equity $</t>
        </is>
      </c>
      <c r="E413" s="146">
        <f>BS!W36</f>
        <v>65471.0452165544</v>
      </c>
      <c r="F413" s="206" t="inlineStr">
        <is>
          <t>BS!W36</t>
        </is>
      </c>
      <c r="G413" s="143" t="inlineStr"/>
    </row>
    <row r="414">
      <c r="A414" s="127" t="inlineStr">
        <is>
          <t>FY26 Total</t>
        </is>
      </c>
      <c r="B414" s="127" t="inlineStr">
        <is>
          <t>Q1 Forecast Update</t>
        </is>
      </c>
      <c r="C414" s="139" t="inlineStr">
        <is>
          <t>Base</t>
        </is>
      </c>
      <c r="D414" s="205" t="inlineStr">
        <is>
          <t>DSO</t>
        </is>
      </c>
      <c r="E414" s="190">
        <f>Drivers!G41</f>
        <v>33</v>
      </c>
      <c r="F414" s="206" t="inlineStr">
        <is>
          <t>Drivers!G41</t>
        </is>
      </c>
      <c r="G414" s="143" t="inlineStr">
        <is>
          <t>Drivers tab Active-column assumption (days), cascades with the live Drivers!B6 scenario switch -- constant across every quarter within this vintage (not period-specific), since DSO/DIO/DPO are not part of any vintage's Driver Adjustment Log.</t>
        </is>
      </c>
    </row>
    <row r="415">
      <c r="A415" s="127" t="inlineStr">
        <is>
          <t>FY26 Total</t>
        </is>
      </c>
      <c r="B415" s="127" t="inlineStr">
        <is>
          <t>Q1 Forecast Update</t>
        </is>
      </c>
      <c r="C415" s="139" t="inlineStr">
        <is>
          <t>Base</t>
        </is>
      </c>
      <c r="D415" s="205" t="inlineStr">
        <is>
          <t>DIO</t>
        </is>
      </c>
      <c r="E415" s="190">
        <f>Drivers!G42</f>
        <v>10</v>
      </c>
      <c r="F415" s="206" t="inlineStr">
        <is>
          <t>Drivers!G42</t>
        </is>
      </c>
      <c r="G415" s="143" t="inlineStr">
        <is>
          <t>Drivers tab Active-column assumption (days), cascades with the live Drivers!B6 scenario switch -- constant across every quarter within this vintage (not period-specific), since DSO/DIO/DPO are not part of any vintage's Driver Adjustment Log.</t>
        </is>
      </c>
    </row>
    <row r="416">
      <c r="A416" s="127" t="inlineStr">
        <is>
          <t>FY26 Total</t>
        </is>
      </c>
      <c r="B416" s="127" t="inlineStr">
        <is>
          <t>Q1 Forecast Update</t>
        </is>
      </c>
      <c r="C416" s="139" t="inlineStr">
        <is>
          <t>Base</t>
        </is>
      </c>
      <c r="D416" s="205" t="inlineStr">
        <is>
          <t>DPO</t>
        </is>
      </c>
      <c r="E416" s="190">
        <f>Drivers!G43</f>
        <v>115</v>
      </c>
      <c r="F416" s="206" t="inlineStr">
        <is>
          <t>Drivers!G43</t>
        </is>
      </c>
      <c r="G416" s="143" t="inlineStr">
        <is>
          <t>Drivers tab Active-column assumption (days), cascades with the live Drivers!B6 scenario switch -- constant across every quarter within this vintage (not period-specific), since DSO/DIO/DPO are not part of any vintage's Driver Adjustment Log.</t>
        </is>
      </c>
    </row>
    <row r="417">
      <c r="A417" s="127" t="inlineStr">
        <is>
          <t>FY26 Q3</t>
        </is>
      </c>
      <c r="B417" s="127" t="inlineStr">
        <is>
          <t>Q3 Reforecast</t>
        </is>
      </c>
      <c r="C417" s="139" t="inlineStr">
        <is>
          <t>Base</t>
        </is>
      </c>
      <c r="D417" s="205" t="inlineStr">
        <is>
          <t>Revenue</t>
        </is>
      </c>
      <c r="E417" s="146">
        <f>IS!AB41</f>
        <v>102022.24721</v>
      </c>
      <c r="F417" s="206" t="inlineStr">
        <is>
          <t>IS!AB41</t>
        </is>
      </c>
      <c r="G417" s="143" t="inlineStr"/>
    </row>
    <row r="418">
      <c r="A418" s="127" t="inlineStr">
        <is>
          <t>FY26 Q3</t>
        </is>
      </c>
      <c r="B418" s="127" t="inlineStr">
        <is>
          <t>Q3 Reforecast</t>
        </is>
      </c>
      <c r="C418" s="139" t="inlineStr">
        <is>
          <t>Base</t>
        </is>
      </c>
      <c r="D418" s="205" t="inlineStr">
        <is>
          <t>iPhone Revenue</t>
        </is>
      </c>
      <c r="E418" s="146">
        <f>IS!AB35</f>
        <v>50270.2943131807</v>
      </c>
      <c r="F418" s="206" t="inlineStr">
        <is>
          <t>IS!AB35</t>
        </is>
      </c>
      <c r="G418" s="143" t="inlineStr"/>
    </row>
    <row r="419">
      <c r="A419" s="127" t="inlineStr">
        <is>
          <t>FY26 Q3</t>
        </is>
      </c>
      <c r="B419" s="127" t="inlineStr">
        <is>
          <t>Q3 Reforecast</t>
        </is>
      </c>
      <c r="C419" s="139" t="inlineStr">
        <is>
          <t>Base</t>
        </is>
      </c>
      <c r="D419" s="205" t="inlineStr">
        <is>
          <t>Mac Revenue</t>
        </is>
      </c>
      <c r="E419" s="146">
        <f>IS!AB36</f>
        <v>8284.17836513185</v>
      </c>
      <c r="F419" s="206" t="inlineStr">
        <is>
          <t>IS!AB36</t>
        </is>
      </c>
      <c r="G419" s="143" t="inlineStr"/>
    </row>
    <row r="420">
      <c r="A420" s="127" t="inlineStr">
        <is>
          <t>FY26 Q3</t>
        </is>
      </c>
      <c r="B420" s="127" t="inlineStr">
        <is>
          <t>Q3 Reforecast</t>
        </is>
      </c>
      <c r="C420" s="139" t="inlineStr">
        <is>
          <t>Base</t>
        </is>
      </c>
      <c r="D420" s="205" t="inlineStr">
        <is>
          <t>iPad Revenue</t>
        </is>
      </c>
      <c r="E420" s="146">
        <f>IS!AB37</f>
        <v>6655.56589392779</v>
      </c>
      <c r="F420" s="206" t="inlineStr">
        <is>
          <t>IS!AB37</t>
        </is>
      </c>
      <c r="G420" s="143" t="inlineStr"/>
    </row>
    <row r="421">
      <c r="A421" s="127" t="inlineStr">
        <is>
          <t>FY26 Q3</t>
        </is>
      </c>
      <c r="B421" s="127" t="inlineStr">
        <is>
          <t>Q3 Reforecast</t>
        </is>
      </c>
      <c r="C421" s="139" t="inlineStr">
        <is>
          <t>Base</t>
        </is>
      </c>
      <c r="D421" s="205" t="inlineStr">
        <is>
          <t>Wearables Revenue</t>
        </is>
      </c>
      <c r="E421" s="146">
        <f>IS!AB38</f>
        <v>8266.79911402122</v>
      </c>
      <c r="F421" s="206" t="inlineStr">
        <is>
          <t>IS!AB38</t>
        </is>
      </c>
      <c r="G421" s="143" t="inlineStr"/>
    </row>
    <row r="422">
      <c r="A422" s="127" t="inlineStr">
        <is>
          <t>FY26 Q3</t>
        </is>
      </c>
      <c r="B422" s="127" t="inlineStr">
        <is>
          <t>Q3 Reforecast</t>
        </is>
      </c>
      <c r="C422" s="139" t="inlineStr">
        <is>
          <t>Base</t>
        </is>
      </c>
      <c r="D422" s="205" t="inlineStr">
        <is>
          <t>Services Revenue</t>
        </is>
      </c>
      <c r="E422" s="146">
        <f>IS!AB40</f>
        <v>28545.4095237384</v>
      </c>
      <c r="F422" s="206" t="inlineStr">
        <is>
          <t>IS!AB40</t>
        </is>
      </c>
      <c r="G422" s="143" t="inlineStr"/>
    </row>
    <row r="423">
      <c r="A423" s="127" t="inlineStr">
        <is>
          <t>FY26 Q3</t>
        </is>
      </c>
      <c r="B423" s="127" t="inlineStr">
        <is>
          <t>Q3 Reforecast</t>
        </is>
      </c>
      <c r="C423" s="139" t="inlineStr">
        <is>
          <t>Base</t>
        </is>
      </c>
      <c r="D423" s="205" t="inlineStr">
        <is>
          <t>Gross Margin $</t>
        </is>
      </c>
      <c r="E423" s="146">
        <f>IS!AB44</f>
        <v>50266.9513995809</v>
      </c>
      <c r="F423" s="206" t="inlineStr">
        <is>
          <t>IS!AB44</t>
        </is>
      </c>
      <c r="G423" s="143" t="inlineStr"/>
    </row>
    <row r="424">
      <c r="A424" s="127" t="inlineStr">
        <is>
          <t>FY26 Q3</t>
        </is>
      </c>
      <c r="B424" s="127" t="inlineStr">
        <is>
          <t>Q3 Reforecast</t>
        </is>
      </c>
      <c r="C424" s="139" t="inlineStr">
        <is>
          <t>Base</t>
        </is>
      </c>
      <c r="D424" s="205" t="inlineStr">
        <is>
          <t>Gross Margin %</t>
        </is>
      </c>
      <c r="E424" s="142">
        <f>IS!AB45</f>
        <v>0.492705785005037</v>
      </c>
      <c r="F424" s="206" t="inlineStr">
        <is>
          <t>IS!AB45</t>
        </is>
      </c>
      <c r="G424" s="143" t="inlineStr"/>
    </row>
    <row r="425">
      <c r="A425" s="127" t="inlineStr">
        <is>
          <t>FY26 Q3</t>
        </is>
      </c>
      <c r="B425" s="127" t="inlineStr">
        <is>
          <t>Q3 Reforecast</t>
        </is>
      </c>
      <c r="C425" s="139" t="inlineStr">
        <is>
          <t>Base</t>
        </is>
      </c>
      <c r="D425" s="205" t="inlineStr">
        <is>
          <t>Operating Income</t>
        </is>
      </c>
      <c r="E425" s="146">
        <f>IS!AB49</f>
        <v>32928.0142928015</v>
      </c>
      <c r="F425" s="206" t="inlineStr">
        <is>
          <t>IS!AB49</t>
        </is>
      </c>
      <c r="G425" s="143" t="inlineStr"/>
    </row>
    <row r="426">
      <c r="A426" s="127" t="inlineStr">
        <is>
          <t>FY26 Q3</t>
        </is>
      </c>
      <c r="B426" s="127" t="inlineStr">
        <is>
          <t>Q3 Reforecast</t>
        </is>
      </c>
      <c r="C426" s="139" t="inlineStr">
        <is>
          <t>Base</t>
        </is>
      </c>
      <c r="D426" s="205" t="inlineStr">
        <is>
          <t>Net Income</t>
        </is>
      </c>
      <c r="E426" s="146">
        <f>IS!AB53</f>
        <v>27258.920350902</v>
      </c>
      <c r="F426" s="206" t="inlineStr">
        <is>
          <t>IS!AB53</t>
        </is>
      </c>
      <c r="G426" s="143" t="inlineStr"/>
    </row>
    <row r="427">
      <c r="A427" s="127" t="inlineStr">
        <is>
          <t>FY26 Q3</t>
        </is>
      </c>
      <c r="B427" s="127" t="inlineStr">
        <is>
          <t>Q3 Reforecast</t>
        </is>
      </c>
      <c r="C427" s="139" t="inlineStr">
        <is>
          <t>Base</t>
        </is>
      </c>
      <c r="D427" s="205" t="inlineStr">
        <is>
          <t>EPS</t>
        </is>
      </c>
      <c r="E427" s="148">
        <f>IS!AB57</f>
        <v>1.85240482471137</v>
      </c>
      <c r="F427" s="206" t="inlineStr">
        <is>
          <t>IS!AB57</t>
        </is>
      </c>
      <c r="G427" s="143" t="inlineStr"/>
    </row>
    <row r="428">
      <c r="A428" s="127" t="inlineStr">
        <is>
          <t>FY26 Q3</t>
        </is>
      </c>
      <c r="B428" s="127" t="inlineStr">
        <is>
          <t>Q3 Reforecast</t>
        </is>
      </c>
      <c r="C428" s="139" t="inlineStr">
        <is>
          <t>Base</t>
        </is>
      </c>
      <c r="D428" s="205" t="inlineStr">
        <is>
          <t>FCF</t>
        </is>
      </c>
      <c r="E428" s="146">
        <f>CF!AB32</f>
        <v>24919.8676879553</v>
      </c>
      <c r="F428" s="206" t="inlineStr">
        <is>
          <t>CF!AB32</t>
        </is>
      </c>
      <c r="G428" s="143" t="inlineStr"/>
    </row>
    <row r="429">
      <c r="A429" s="127" t="inlineStr">
        <is>
          <t>FY26 Q3</t>
        </is>
      </c>
      <c r="B429" s="127" t="inlineStr">
        <is>
          <t>Q3 Reforecast</t>
        </is>
      </c>
      <c r="C429" s="139" t="inlineStr">
        <is>
          <t>Base</t>
        </is>
      </c>
      <c r="D429" s="205" t="inlineStr">
        <is>
          <t>Cash</t>
        </is>
      </c>
      <c r="E429" s="146">
        <f>BS!AB9</f>
        <v>31063.8644651261</v>
      </c>
      <c r="F429" s="206" t="inlineStr">
        <is>
          <t>BS!AB9</t>
        </is>
      </c>
      <c r="G429" s="143" t="inlineStr"/>
    </row>
    <row r="430">
      <c r="A430" s="127" t="inlineStr">
        <is>
          <t>FY26 Q3</t>
        </is>
      </c>
      <c r="B430" s="127" t="inlineStr">
        <is>
          <t>Q3 Reforecast</t>
        </is>
      </c>
      <c r="C430" s="139" t="inlineStr">
        <is>
          <t>Base</t>
        </is>
      </c>
      <c r="D430" s="205" t="inlineStr">
        <is>
          <t>R&amp;D $</t>
        </is>
      </c>
      <c r="E430" s="146">
        <f>IS!AB47</f>
        <v>10478.0547640937</v>
      </c>
      <c r="F430" s="206" t="inlineStr">
        <is>
          <t>IS!AB47</t>
        </is>
      </c>
      <c r="G430" s="143" t="inlineStr"/>
    </row>
    <row r="431">
      <c r="A431" s="127" t="inlineStr">
        <is>
          <t>FY26 Q3</t>
        </is>
      </c>
      <c r="B431" s="127" t="inlineStr">
        <is>
          <t>Q3 Reforecast</t>
        </is>
      </c>
      <c r="C431" s="139" t="inlineStr">
        <is>
          <t>Base</t>
        </is>
      </c>
      <c r="D431" s="205" t="inlineStr">
        <is>
          <t>SG&amp;A $</t>
        </is>
      </c>
      <c r="E431" s="146">
        <f>IS!AB48</f>
        <v>6860.88234268572</v>
      </c>
      <c r="F431" s="206" t="inlineStr">
        <is>
          <t>IS!AB48</t>
        </is>
      </c>
      <c r="G431" s="143" t="inlineStr"/>
    </row>
    <row r="432">
      <c r="A432" s="127" t="inlineStr">
        <is>
          <t>FY26 Q3</t>
        </is>
      </c>
      <c r="B432" s="127" t="inlineStr">
        <is>
          <t>Q3 Reforecast</t>
        </is>
      </c>
      <c r="C432" s="139" t="inlineStr">
        <is>
          <t>Base</t>
        </is>
      </c>
      <c r="D432" s="205" t="inlineStr">
        <is>
          <t>Operating Margin %</t>
        </is>
      </c>
      <c r="E432" s="142">
        <f>IS!AB50</f>
        <v>0.322753273852353</v>
      </c>
      <c r="F432" s="206" t="inlineStr">
        <is>
          <t>IS!AB50</t>
        </is>
      </c>
      <c r="G432" s="143" t="inlineStr"/>
    </row>
    <row r="433">
      <c r="A433" s="127" t="inlineStr">
        <is>
          <t>FY26 Q3</t>
        </is>
      </c>
      <c r="B433" s="127" t="inlineStr">
        <is>
          <t>Q3 Reforecast</t>
        </is>
      </c>
      <c r="C433" s="139" t="inlineStr">
        <is>
          <t>Base</t>
        </is>
      </c>
      <c r="D433" s="205" t="inlineStr">
        <is>
          <t>AR $</t>
        </is>
      </c>
      <c r="E433" s="146">
        <f>BS!AB11</f>
        <v>37408.1573103333</v>
      </c>
      <c r="F433" s="206" t="inlineStr">
        <is>
          <t>BS!AB11</t>
        </is>
      </c>
      <c r="G433" s="143" t="inlineStr"/>
    </row>
    <row r="434">
      <c r="A434" s="127" t="inlineStr">
        <is>
          <t>FY26 Q3</t>
        </is>
      </c>
      <c r="B434" s="127" t="inlineStr">
        <is>
          <t>Q3 Reforecast</t>
        </is>
      </c>
      <c r="C434" s="139" t="inlineStr">
        <is>
          <t>Base</t>
        </is>
      </c>
      <c r="D434" s="205" t="inlineStr">
        <is>
          <t>Inventory $</t>
        </is>
      </c>
      <c r="E434" s="146">
        <f>BS!AB13</f>
        <v>5750.58842337989</v>
      </c>
      <c r="F434" s="206" t="inlineStr">
        <is>
          <t>BS!AB13</t>
        </is>
      </c>
      <c r="G434" s="143" t="inlineStr"/>
    </row>
    <row r="435">
      <c r="A435" s="127" t="inlineStr">
        <is>
          <t>FY26 Q3</t>
        </is>
      </c>
      <c r="B435" s="127" t="inlineStr">
        <is>
          <t>Q3 Reforecast</t>
        </is>
      </c>
      <c r="C435" s="139" t="inlineStr">
        <is>
          <t>Base</t>
        </is>
      </c>
      <c r="D435" s="205" t="inlineStr">
        <is>
          <t>AP $</t>
        </is>
      </c>
      <c r="E435" s="146">
        <f>BS!AB22</f>
        <v>66131.7668688687</v>
      </c>
      <c r="F435" s="206" t="inlineStr">
        <is>
          <t>BS!AB22</t>
        </is>
      </c>
      <c r="G435" s="143" t="inlineStr"/>
    </row>
    <row r="436">
      <c r="A436" s="127" t="inlineStr">
        <is>
          <t>FY26 Q3</t>
        </is>
      </c>
      <c r="B436" s="127" t="inlineStr">
        <is>
          <t>Q3 Reforecast</t>
        </is>
      </c>
      <c r="C436" s="139" t="inlineStr">
        <is>
          <t>Base</t>
        </is>
      </c>
      <c r="D436" s="205" t="inlineStr">
        <is>
          <t>CapEx $</t>
        </is>
      </c>
      <c r="E436" s="146">
        <f>CF!AB22</f>
        <v>-3060.6674163</v>
      </c>
      <c r="F436" s="206" t="inlineStr">
        <is>
          <t>CF!AB22</t>
        </is>
      </c>
      <c r="G436" s="143" t="inlineStr"/>
    </row>
    <row r="437">
      <c r="A437" s="127" t="inlineStr">
        <is>
          <t>FY26 Q3</t>
        </is>
      </c>
      <c r="B437" s="127" t="inlineStr">
        <is>
          <t>Q3 Reforecast</t>
        </is>
      </c>
      <c r="C437" s="139" t="inlineStr">
        <is>
          <t>Base</t>
        </is>
      </c>
      <c r="D437" s="205" t="inlineStr">
        <is>
          <t>Buyback $</t>
        </is>
      </c>
      <c r="E437" s="146">
        <f>CF!AB25</f>
        <v>-22427.8809191598</v>
      </c>
      <c r="F437" s="206" t="inlineStr">
        <is>
          <t>CF!AB25</t>
        </is>
      </c>
      <c r="G437" s="143" t="inlineStr"/>
    </row>
    <row r="438">
      <c r="A438" s="127" t="inlineStr">
        <is>
          <t>FY26 Q3</t>
        </is>
      </c>
      <c r="B438" s="127" t="inlineStr">
        <is>
          <t>Q3 Reforecast</t>
        </is>
      </c>
      <c r="C438" s="139" t="inlineStr">
        <is>
          <t>Base</t>
        </is>
      </c>
      <c r="D438" s="205" t="inlineStr">
        <is>
          <t>Dividend $</t>
        </is>
      </c>
      <c r="E438" s="146">
        <f>CF!AB26</f>
        <v>-4088.83805263529</v>
      </c>
      <c r="F438" s="206" t="inlineStr">
        <is>
          <t>CF!AB26</t>
        </is>
      </c>
      <c r="G438" s="143" t="inlineStr"/>
    </row>
    <row r="439">
      <c r="A439" s="127" t="inlineStr">
        <is>
          <t>FY26 Q3</t>
        </is>
      </c>
      <c r="B439" s="127" t="inlineStr">
        <is>
          <t>Q3 Reforecast</t>
        </is>
      </c>
      <c r="C439" s="139" t="inlineStr">
        <is>
          <t>Base</t>
        </is>
      </c>
      <c r="D439" s="205" t="inlineStr">
        <is>
          <t>Total Assets $</t>
        </is>
      </c>
      <c r="E439" s="146">
        <f>BS!AB20</f>
        <v>352276.3089989</v>
      </c>
      <c r="F439" s="206" t="inlineStr">
        <is>
          <t>BS!AB20</t>
        </is>
      </c>
      <c r="G439" s="143" t="inlineStr"/>
    </row>
    <row r="440">
      <c r="A440" s="127" t="inlineStr">
        <is>
          <t>FY26 Q3</t>
        </is>
      </c>
      <c r="B440" s="127" t="inlineStr">
        <is>
          <t>Q3 Reforecast</t>
        </is>
      </c>
      <c r="C440" s="139" t="inlineStr">
        <is>
          <t>Base</t>
        </is>
      </c>
      <c r="D440" s="205" t="inlineStr">
        <is>
          <t>Total Liabilities $</t>
        </is>
      </c>
      <c r="E440" s="146">
        <f>BS!AB31</f>
        <v>281779.766868869</v>
      </c>
      <c r="F440" s="206" t="inlineStr">
        <is>
          <t>BS!AB31</t>
        </is>
      </c>
      <c r="G440" s="143" t="inlineStr"/>
    </row>
    <row r="441">
      <c r="A441" s="127" t="inlineStr">
        <is>
          <t>FY26 Q3</t>
        </is>
      </c>
      <c r="B441" s="127" t="inlineStr">
        <is>
          <t>Q3 Reforecast</t>
        </is>
      </c>
      <c r="C441" s="139" t="inlineStr">
        <is>
          <t>Base</t>
        </is>
      </c>
      <c r="D441" s="205" t="inlineStr">
        <is>
          <t>Total Equity $</t>
        </is>
      </c>
      <c r="E441" s="146">
        <f>BS!AB36</f>
        <v>70496.542130031</v>
      </c>
      <c r="F441" s="206" t="inlineStr">
        <is>
          <t>BS!AB36</t>
        </is>
      </c>
      <c r="G441" s="143" t="inlineStr"/>
    </row>
    <row r="442">
      <c r="A442" s="127" t="inlineStr">
        <is>
          <t>FY26 Q3</t>
        </is>
      </c>
      <c r="B442" s="127" t="inlineStr">
        <is>
          <t>Q3 Reforecast</t>
        </is>
      </c>
      <c r="C442" s="139" t="inlineStr">
        <is>
          <t>Base</t>
        </is>
      </c>
      <c r="D442" s="205" t="inlineStr">
        <is>
          <t>DSO</t>
        </is>
      </c>
      <c r="E442" s="190">
        <f>Drivers!G41</f>
        <v>33</v>
      </c>
      <c r="F442" s="206" t="inlineStr">
        <is>
          <t>Drivers!G41</t>
        </is>
      </c>
      <c r="G442" s="143" t="inlineStr">
        <is>
          <t>Drivers tab Active-column assumption (days), cascades with the live Drivers!B6 scenario switch -- constant across every quarter within this vintage (not period-specific), since DSO/DIO/DPO are not part of any vintage's Driver Adjustment Log.</t>
        </is>
      </c>
    </row>
    <row r="443">
      <c r="A443" s="127" t="inlineStr">
        <is>
          <t>FY26 Q3</t>
        </is>
      </c>
      <c r="B443" s="127" t="inlineStr">
        <is>
          <t>Q3 Reforecast</t>
        </is>
      </c>
      <c r="C443" s="139" t="inlineStr">
        <is>
          <t>Base</t>
        </is>
      </c>
      <c r="D443" s="205" t="inlineStr">
        <is>
          <t>DIO</t>
        </is>
      </c>
      <c r="E443" s="190">
        <f>Drivers!G42</f>
        <v>10</v>
      </c>
      <c r="F443" s="206" t="inlineStr">
        <is>
          <t>Drivers!G42</t>
        </is>
      </c>
      <c r="G443" s="143" t="inlineStr">
        <is>
          <t>Drivers tab Active-column assumption (days), cascades with the live Drivers!B6 scenario switch -- constant across every quarter within this vintage (not period-specific), since DSO/DIO/DPO are not part of any vintage's Driver Adjustment Log.</t>
        </is>
      </c>
    </row>
    <row r="444">
      <c r="A444" s="127" t="inlineStr">
        <is>
          <t>FY26 Q3</t>
        </is>
      </c>
      <c r="B444" s="127" t="inlineStr">
        <is>
          <t>Q3 Reforecast</t>
        </is>
      </c>
      <c r="C444" s="139" t="inlineStr">
        <is>
          <t>Base</t>
        </is>
      </c>
      <c r="D444" s="205" t="inlineStr">
        <is>
          <t>DPO</t>
        </is>
      </c>
      <c r="E444" s="190">
        <f>Drivers!G43</f>
        <v>115</v>
      </c>
      <c r="F444" s="206" t="inlineStr">
        <is>
          <t>Drivers!G43</t>
        </is>
      </c>
      <c r="G444" s="143" t="inlineStr">
        <is>
          <t>Drivers tab Active-column assumption (days), cascades with the live Drivers!B6 scenario switch -- constant across every quarter within this vintage (not period-specific), since DSO/DIO/DPO are not part of any vintage's Driver Adjustment Log.</t>
        </is>
      </c>
    </row>
    <row r="445">
      <c r="A445" s="127" t="inlineStr">
        <is>
          <t>FY26 Q4</t>
        </is>
      </c>
      <c r="B445" s="127" t="inlineStr">
        <is>
          <t>Q3 Reforecast</t>
        </is>
      </c>
      <c r="C445" s="139" t="inlineStr">
        <is>
          <t>Base</t>
        </is>
      </c>
      <c r="D445" s="205" t="inlineStr">
        <is>
          <t>Revenue</t>
        </is>
      </c>
      <c r="E445" s="146">
        <f>IS!AC41</f>
        <v>112025.555502363</v>
      </c>
      <c r="F445" s="206" t="inlineStr">
        <is>
          <t>IS!AC41</t>
        </is>
      </c>
      <c r="G445" s="143" t="inlineStr"/>
    </row>
    <row r="446">
      <c r="A446" s="127" t="inlineStr">
        <is>
          <t>FY26 Q4</t>
        </is>
      </c>
      <c r="B446" s="127" t="inlineStr">
        <is>
          <t>Q3 Reforecast</t>
        </is>
      </c>
      <c r="C446" s="139" t="inlineStr">
        <is>
          <t>Base</t>
        </is>
      </c>
      <c r="D446" s="205" t="inlineStr">
        <is>
          <t>iPhone Revenue</t>
        </is>
      </c>
      <c r="E446" s="146">
        <f>IS!AC35</f>
        <v>55199.3099515783</v>
      </c>
      <c r="F446" s="206" t="inlineStr">
        <is>
          <t>IS!AC35</t>
        </is>
      </c>
      <c r="G446" s="143" t="inlineStr"/>
    </row>
    <row r="447">
      <c r="A447" s="127" t="inlineStr">
        <is>
          <t>FY26 Q4</t>
        </is>
      </c>
      <c r="B447" s="127" t="inlineStr">
        <is>
          <t>Q3 Reforecast</t>
        </is>
      </c>
      <c r="C447" s="139" t="inlineStr">
        <is>
          <t>Base</t>
        </is>
      </c>
      <c r="D447" s="205" t="inlineStr">
        <is>
          <t>Mac Revenue</t>
        </is>
      </c>
      <c r="E447" s="146">
        <f>IS!AC36</f>
        <v>9096.44424244349</v>
      </c>
      <c r="F447" s="206" t="inlineStr">
        <is>
          <t>IS!AC36</t>
        </is>
      </c>
      <c r="G447" s="143" t="inlineStr"/>
    </row>
    <row r="448">
      <c r="A448" s="127" t="inlineStr">
        <is>
          <t>FY26 Q4</t>
        </is>
      </c>
      <c r="B448" s="127" t="inlineStr">
        <is>
          <t>Q3 Reforecast</t>
        </is>
      </c>
      <c r="C448" s="139" t="inlineStr">
        <is>
          <t>Base</t>
        </is>
      </c>
      <c r="D448" s="205" t="inlineStr">
        <is>
          <t>iPad Revenue</t>
        </is>
      </c>
      <c r="E448" s="146">
        <f>IS!AC37</f>
        <v>7308.14588817212</v>
      </c>
      <c r="F448" s="206" t="inlineStr">
        <is>
          <t>IS!AC37</t>
        </is>
      </c>
      <c r="G448" s="143" t="inlineStr"/>
    </row>
    <row r="449">
      <c r="A449" s="127" t="inlineStr">
        <is>
          <t>FY26 Q4</t>
        </is>
      </c>
      <c r="B449" s="127" t="inlineStr">
        <is>
          <t>Q3 Reforecast</t>
        </is>
      </c>
      <c r="C449" s="139" t="inlineStr">
        <is>
          <t>Base</t>
        </is>
      </c>
      <c r="D449" s="205" t="inlineStr">
        <is>
          <t>Wearables Revenue</t>
        </is>
      </c>
      <c r="E449" s="146">
        <f>IS!AC38</f>
        <v>9077.36095117002</v>
      </c>
      <c r="F449" s="206" t="inlineStr">
        <is>
          <t>IS!AC38</t>
        </is>
      </c>
      <c r="G449" s="143" t="inlineStr"/>
    </row>
    <row r="450">
      <c r="A450" s="127" t="inlineStr">
        <is>
          <t>FY26 Q4</t>
        </is>
      </c>
      <c r="B450" s="127" t="inlineStr">
        <is>
          <t>Q3 Reforecast</t>
        </is>
      </c>
      <c r="C450" s="139" t="inlineStr">
        <is>
          <t>Base</t>
        </is>
      </c>
      <c r="D450" s="205" t="inlineStr">
        <is>
          <t>Services Revenue</t>
        </is>
      </c>
      <c r="E450" s="146">
        <f>IS!AC40</f>
        <v>31344.2944689988</v>
      </c>
      <c r="F450" s="206" t="inlineStr">
        <is>
          <t>IS!AC40</t>
        </is>
      </c>
      <c r="G450" s="143" t="inlineStr"/>
    </row>
    <row r="451">
      <c r="A451" s="127" t="inlineStr">
        <is>
          <t>FY26 Q4</t>
        </is>
      </c>
      <c r="B451" s="127" t="inlineStr">
        <is>
          <t>Q3 Reforecast</t>
        </is>
      </c>
      <c r="C451" s="139" t="inlineStr">
        <is>
          <t>Base</t>
        </is>
      </c>
      <c r="D451" s="205" t="inlineStr">
        <is>
          <t>Gross Margin $</t>
        </is>
      </c>
      <c r="E451" s="146">
        <f>IS!AC44</f>
        <v>55195.6392644169</v>
      </c>
      <c r="F451" s="206" t="inlineStr">
        <is>
          <t>IS!AC44</t>
        </is>
      </c>
      <c r="G451" s="143" t="inlineStr"/>
    </row>
    <row r="452">
      <c r="A452" s="127" t="inlineStr">
        <is>
          <t>FY26 Q4</t>
        </is>
      </c>
      <c r="B452" s="127" t="inlineStr">
        <is>
          <t>Q3 Reforecast</t>
        </is>
      </c>
      <c r="C452" s="139" t="inlineStr">
        <is>
          <t>Base</t>
        </is>
      </c>
      <c r="D452" s="205" t="inlineStr">
        <is>
          <t>Gross Margin %</t>
        </is>
      </c>
      <c r="E452" s="142">
        <f>IS!AC45</f>
        <v>0.492705785005037</v>
      </c>
      <c r="F452" s="206" t="inlineStr">
        <is>
          <t>IS!AC45</t>
        </is>
      </c>
      <c r="G452" s="143" t="inlineStr"/>
    </row>
    <row r="453">
      <c r="A453" s="127" t="inlineStr">
        <is>
          <t>FY26 Q4</t>
        </is>
      </c>
      <c r="B453" s="127" t="inlineStr">
        <is>
          <t>Q3 Reforecast</t>
        </is>
      </c>
      <c r="C453" s="139" t="inlineStr">
        <is>
          <t>Base</t>
        </is>
      </c>
      <c r="D453" s="205" t="inlineStr">
        <is>
          <t>Operating Income</t>
        </is>
      </c>
      <c r="E453" s="146">
        <f>IS!AC49</f>
        <v>36156.614793516</v>
      </c>
      <c r="F453" s="206" t="inlineStr">
        <is>
          <t>IS!AC49</t>
        </is>
      </c>
      <c r="G453" s="143" t="inlineStr"/>
    </row>
    <row r="454">
      <c r="A454" s="127" t="inlineStr">
        <is>
          <t>FY26 Q4</t>
        </is>
      </c>
      <c r="B454" s="127" t="inlineStr">
        <is>
          <t>Q3 Reforecast</t>
        </is>
      </c>
      <c r="C454" s="139" t="inlineStr">
        <is>
          <t>Base</t>
        </is>
      </c>
      <c r="D454" s="205" t="inlineStr">
        <is>
          <t>Net Income</t>
        </is>
      </c>
      <c r="E454" s="146">
        <f>IS!AC53</f>
        <v>29931.6646928861</v>
      </c>
      <c r="F454" s="206" t="inlineStr">
        <is>
          <t>IS!AC53</t>
        </is>
      </c>
      <c r="G454" s="143" t="inlineStr"/>
    </row>
    <row r="455">
      <c r="A455" s="127" t="inlineStr">
        <is>
          <t>FY26 Q4</t>
        </is>
      </c>
      <c r="B455" s="127" t="inlineStr">
        <is>
          <t>Q3 Reforecast</t>
        </is>
      </c>
      <c r="C455" s="139" t="inlineStr">
        <is>
          <t>Base</t>
        </is>
      </c>
      <c r="D455" s="205" t="inlineStr">
        <is>
          <t>EPS</t>
        </is>
      </c>
      <c r="E455" s="148">
        <f>IS!AC57</f>
        <v>2.03403360716414</v>
      </c>
      <c r="F455" s="206" t="inlineStr">
        <is>
          <t>IS!AC57</t>
        </is>
      </c>
      <c r="G455" s="143" t="inlineStr"/>
    </row>
    <row r="456">
      <c r="A456" s="127" t="inlineStr">
        <is>
          <t>FY26 Q4</t>
        </is>
      </c>
      <c r="B456" s="127" t="inlineStr">
        <is>
          <t>Q3 Reforecast</t>
        </is>
      </c>
      <c r="C456" s="139" t="inlineStr">
        <is>
          <t>Base</t>
        </is>
      </c>
      <c r="D456" s="205" t="inlineStr">
        <is>
          <t>FCF</t>
        </is>
      </c>
      <c r="E456" s="146">
        <f>CF!AC32</f>
        <v>32104.3342164414</v>
      </c>
      <c r="F456" s="206" t="inlineStr">
        <is>
          <t>CF!AC32</t>
        </is>
      </c>
      <c r="G456" s="143" t="inlineStr"/>
    </row>
    <row r="457">
      <c r="A457" s="127" t="inlineStr">
        <is>
          <t>FY26 Q4</t>
        </is>
      </c>
      <c r="B457" s="127" t="inlineStr">
        <is>
          <t>Q3 Reforecast</t>
        </is>
      </c>
      <c r="C457" s="139" t="inlineStr">
        <is>
          <t>Base</t>
        </is>
      </c>
      <c r="D457" s="205" t="inlineStr">
        <is>
          <t>Cash</t>
        </is>
      </c>
      <c r="E457" s="146">
        <f>BS!AC9</f>
        <v>29784.5481828373</v>
      </c>
      <c r="F457" s="206" t="inlineStr">
        <is>
          <t>BS!AC9</t>
        </is>
      </c>
      <c r="G457" s="143" t="inlineStr"/>
    </row>
    <row r="458">
      <c r="A458" s="127" t="inlineStr">
        <is>
          <t>FY26 Q4</t>
        </is>
      </c>
      <c r="B458" s="127" t="inlineStr">
        <is>
          <t>Q3 Reforecast</t>
        </is>
      </c>
      <c r="C458" s="139" t="inlineStr">
        <is>
          <t>Base</t>
        </is>
      </c>
      <c r="D458" s="205" t="inlineStr">
        <is>
          <t>R&amp;D $</t>
        </is>
      </c>
      <c r="E458" s="146">
        <f>IS!AC47</f>
        <v>11505.4308019273</v>
      </c>
      <c r="F458" s="206" t="inlineStr">
        <is>
          <t>IS!AC47</t>
        </is>
      </c>
      <c r="G458" s="143" t="inlineStr"/>
    </row>
    <row r="459">
      <c r="A459" s="127" t="inlineStr">
        <is>
          <t>FY26 Q4</t>
        </is>
      </c>
      <c r="B459" s="127" t="inlineStr">
        <is>
          <t>Q3 Reforecast</t>
        </is>
      </c>
      <c r="C459" s="139" t="inlineStr">
        <is>
          <t>Base</t>
        </is>
      </c>
      <c r="D459" s="205" t="inlineStr">
        <is>
          <t>SG&amp;A $</t>
        </is>
      </c>
      <c r="E459" s="146">
        <f>IS!AC48</f>
        <v>7533.59366897365</v>
      </c>
      <c r="F459" s="206" t="inlineStr">
        <is>
          <t>IS!AC48</t>
        </is>
      </c>
      <c r="G459" s="143" t="inlineStr"/>
    </row>
    <row r="460">
      <c r="A460" s="127" t="inlineStr">
        <is>
          <t>FY26 Q4</t>
        </is>
      </c>
      <c r="B460" s="127" t="inlineStr">
        <is>
          <t>Q3 Reforecast</t>
        </is>
      </c>
      <c r="C460" s="139" t="inlineStr">
        <is>
          <t>Base</t>
        </is>
      </c>
      <c r="D460" s="205" t="inlineStr">
        <is>
          <t>Operating Margin %</t>
        </is>
      </c>
      <c r="E460" s="142">
        <f>IS!AC50</f>
        <v>0.322753273852353</v>
      </c>
      <c r="F460" s="206" t="inlineStr">
        <is>
          <t>IS!AC50</t>
        </is>
      </c>
      <c r="G460" s="143" t="inlineStr"/>
    </row>
    <row r="461">
      <c r="A461" s="127" t="inlineStr">
        <is>
          <t>FY26 Q4</t>
        </is>
      </c>
      <c r="B461" s="127" t="inlineStr">
        <is>
          <t>Q3 Reforecast</t>
        </is>
      </c>
      <c r="C461" s="139" t="inlineStr">
        <is>
          <t>Base</t>
        </is>
      </c>
      <c r="D461" s="205" t="inlineStr">
        <is>
          <t>AR $</t>
        </is>
      </c>
      <c r="E461" s="146">
        <f>BS!AC11</f>
        <v>41076.037017533</v>
      </c>
      <c r="F461" s="206" t="inlineStr">
        <is>
          <t>BS!AC11</t>
        </is>
      </c>
      <c r="G461" s="143" t="inlineStr"/>
    </row>
    <row r="462">
      <c r="A462" s="127" t="inlineStr">
        <is>
          <t>FY26 Q4</t>
        </is>
      </c>
      <c r="B462" s="127" t="inlineStr">
        <is>
          <t>Q3 Reforecast</t>
        </is>
      </c>
      <c r="C462" s="139" t="inlineStr">
        <is>
          <t>Base</t>
        </is>
      </c>
      <c r="D462" s="205" t="inlineStr">
        <is>
          <t>Inventory $</t>
        </is>
      </c>
      <c r="E462" s="146">
        <f>BS!AC13</f>
        <v>6314.43513754953</v>
      </c>
      <c r="F462" s="206" t="inlineStr">
        <is>
          <t>BS!AC13</t>
        </is>
      </c>
      <c r="G462" s="143" t="inlineStr"/>
    </row>
    <row r="463">
      <c r="A463" s="127" t="inlineStr">
        <is>
          <t>FY26 Q4</t>
        </is>
      </c>
      <c r="B463" s="127" t="inlineStr">
        <is>
          <t>Q3 Reforecast</t>
        </is>
      </c>
      <c r="C463" s="139" t="inlineStr">
        <is>
          <t>Base</t>
        </is>
      </c>
      <c r="D463" s="205" t="inlineStr">
        <is>
          <t>AP $</t>
        </is>
      </c>
      <c r="E463" s="146">
        <f>BS!AC22</f>
        <v>72616.0040818196</v>
      </c>
      <c r="F463" s="206" t="inlineStr">
        <is>
          <t>BS!AC22</t>
        </is>
      </c>
      <c r="G463" s="143" t="inlineStr"/>
    </row>
    <row r="464">
      <c r="A464" s="127" t="inlineStr">
        <is>
          <t>FY26 Q4</t>
        </is>
      </c>
      <c r="B464" s="127" t="inlineStr">
        <is>
          <t>Q3 Reforecast</t>
        </is>
      </c>
      <c r="C464" s="139" t="inlineStr">
        <is>
          <t>Base</t>
        </is>
      </c>
      <c r="D464" s="205" t="inlineStr">
        <is>
          <t>CapEx $</t>
        </is>
      </c>
      <c r="E464" s="146">
        <f>CF!AC22</f>
        <v>-3360.76666507088</v>
      </c>
      <c r="F464" s="206" t="inlineStr">
        <is>
          <t>CF!AC22</t>
        </is>
      </c>
      <c r="G464" s="143" t="inlineStr"/>
    </row>
    <row r="465">
      <c r="A465" s="127" t="inlineStr">
        <is>
          <t>FY26 Q4</t>
        </is>
      </c>
      <c r="B465" s="127" t="inlineStr">
        <is>
          <t>Q3 Reforecast</t>
        </is>
      </c>
      <c r="C465" s="139" t="inlineStr">
        <is>
          <t>Base</t>
        </is>
      </c>
      <c r="D465" s="205" t="inlineStr">
        <is>
          <t>Buyback $</t>
        </is>
      </c>
      <c r="E465" s="146">
        <f>CF!AC25</f>
        <v>-28893.9007947972</v>
      </c>
      <c r="F465" s="206" t="inlineStr">
        <is>
          <t>CF!AC25</t>
        </is>
      </c>
      <c r="G465" s="143" t="inlineStr"/>
    </row>
    <row r="466">
      <c r="A466" s="127" t="inlineStr">
        <is>
          <t>FY26 Q4</t>
        </is>
      </c>
      <c r="B466" s="127" t="inlineStr">
        <is>
          <t>Q3 Reforecast</t>
        </is>
      </c>
      <c r="C466" s="139" t="inlineStr">
        <is>
          <t>Base</t>
        </is>
      </c>
      <c r="D466" s="205" t="inlineStr">
        <is>
          <t>Dividend $</t>
        </is>
      </c>
      <c r="E466" s="146">
        <f>CF!AC26</f>
        <v>-4489.74970393292</v>
      </c>
      <c r="F466" s="206" t="inlineStr">
        <is>
          <t>CF!AC26</t>
        </is>
      </c>
      <c r="G466" s="143" t="inlineStr"/>
    </row>
    <row r="467">
      <c r="A467" s="127" t="inlineStr">
        <is>
          <t>FY26 Q4</t>
        </is>
      </c>
      <c r="B467" s="127" t="inlineStr">
        <is>
          <t>Q3 Reforecast</t>
        </is>
      </c>
      <c r="C467" s="139" t="inlineStr">
        <is>
          <t>Base</t>
        </is>
      </c>
      <c r="D467" s="205" t="inlineStr">
        <is>
          <t>Total Assets $</t>
        </is>
      </c>
      <c r="E467" s="146">
        <f>BS!AC20</f>
        <v>355308.560406007</v>
      </c>
      <c r="F467" s="206" t="inlineStr">
        <is>
          <t>BS!AC20</t>
        </is>
      </c>
      <c r="G467" s="143" t="inlineStr"/>
    </row>
    <row r="468">
      <c r="A468" s="127" t="inlineStr">
        <is>
          <t>FY26 Q4</t>
        </is>
      </c>
      <c r="B468" s="127" t="inlineStr">
        <is>
          <t>Q3 Reforecast</t>
        </is>
      </c>
      <c r="C468" s="139" t="inlineStr">
        <is>
          <t>Base</t>
        </is>
      </c>
      <c r="D468" s="205" t="inlineStr">
        <is>
          <t>Total Liabilities $</t>
        </is>
      </c>
      <c r="E468" s="146">
        <f>BS!AC31</f>
        <v>288264.00408182</v>
      </c>
      <c r="F468" s="206" t="inlineStr">
        <is>
          <t>BS!AC31</t>
        </is>
      </c>
      <c r="G468" s="143" t="inlineStr"/>
    </row>
    <row r="469">
      <c r="A469" s="127" t="inlineStr">
        <is>
          <t>FY26 Q4</t>
        </is>
      </c>
      <c r="B469" s="127" t="inlineStr">
        <is>
          <t>Q3 Reforecast</t>
        </is>
      </c>
      <c r="C469" s="139" t="inlineStr">
        <is>
          <t>Base</t>
        </is>
      </c>
      <c r="D469" s="205" t="inlineStr">
        <is>
          <t>Total Equity $</t>
        </is>
      </c>
      <c r="E469" s="146">
        <f>BS!AC36</f>
        <v>67044.5563241869</v>
      </c>
      <c r="F469" s="206" t="inlineStr">
        <is>
          <t>BS!AC36</t>
        </is>
      </c>
      <c r="G469" s="143" t="inlineStr"/>
    </row>
    <row r="470">
      <c r="A470" s="127" t="inlineStr">
        <is>
          <t>FY26 Q4</t>
        </is>
      </c>
      <c r="B470" s="127" t="inlineStr">
        <is>
          <t>Q3 Reforecast</t>
        </is>
      </c>
      <c r="C470" s="139" t="inlineStr">
        <is>
          <t>Base</t>
        </is>
      </c>
      <c r="D470" s="205" t="inlineStr">
        <is>
          <t>DSO</t>
        </is>
      </c>
      <c r="E470" s="190">
        <f>Drivers!G41</f>
        <v>33</v>
      </c>
      <c r="F470" s="206" t="inlineStr">
        <is>
          <t>Drivers!G41</t>
        </is>
      </c>
      <c r="G470" s="143" t="inlineStr">
        <is>
          <t>Drivers tab Active-column assumption (days), cascades with the live Drivers!B6 scenario switch -- constant across every quarter within this vintage (not period-specific), since DSO/DIO/DPO are not part of any vintage's Driver Adjustment Log.</t>
        </is>
      </c>
    </row>
    <row r="471">
      <c r="A471" s="127" t="inlineStr">
        <is>
          <t>FY26 Q4</t>
        </is>
      </c>
      <c r="B471" s="127" t="inlineStr">
        <is>
          <t>Q3 Reforecast</t>
        </is>
      </c>
      <c r="C471" s="139" t="inlineStr">
        <is>
          <t>Base</t>
        </is>
      </c>
      <c r="D471" s="205" t="inlineStr">
        <is>
          <t>DIO</t>
        </is>
      </c>
      <c r="E471" s="190">
        <f>Drivers!G42</f>
        <v>10</v>
      </c>
      <c r="F471" s="206" t="inlineStr">
        <is>
          <t>Drivers!G42</t>
        </is>
      </c>
      <c r="G471" s="143" t="inlineStr">
        <is>
          <t>Drivers tab Active-column assumption (days), cascades with the live Drivers!B6 scenario switch -- constant across every quarter within this vintage (not period-specific), since DSO/DIO/DPO are not part of any vintage's Driver Adjustment Log.</t>
        </is>
      </c>
    </row>
    <row r="472">
      <c r="A472" s="127" t="inlineStr">
        <is>
          <t>FY26 Q4</t>
        </is>
      </c>
      <c r="B472" s="127" t="inlineStr">
        <is>
          <t>Q3 Reforecast</t>
        </is>
      </c>
      <c r="C472" s="139" t="inlineStr">
        <is>
          <t>Base</t>
        </is>
      </c>
      <c r="D472" s="205" t="inlineStr">
        <is>
          <t>DPO</t>
        </is>
      </c>
      <c r="E472" s="190">
        <f>Drivers!G43</f>
        <v>115</v>
      </c>
      <c r="F472" s="206" t="inlineStr">
        <is>
          <t>Drivers!G43</t>
        </is>
      </c>
      <c r="G472" s="143" t="inlineStr">
        <is>
          <t>Drivers tab Active-column assumption (days), cascades with the live Drivers!B6 scenario switch -- constant across every quarter within this vintage (not period-specific), since DSO/DIO/DPO are not part of any vintage's Driver Adjustment Log.</t>
        </is>
      </c>
    </row>
    <row r="473">
      <c r="A473" s="127" t="inlineStr">
        <is>
          <t>FY26 Total</t>
        </is>
      </c>
      <c r="B473" s="127" t="inlineStr">
        <is>
          <t>Q3 Reforecast</t>
        </is>
      </c>
      <c r="C473" s="139" t="inlineStr">
        <is>
          <t>Base</t>
        </is>
      </c>
      <c r="D473" s="205" t="inlineStr">
        <is>
          <t>Revenue</t>
        </is>
      </c>
      <c r="E473" s="146">
        <f>IS!AD41</f>
        <v>468987.802712363</v>
      </c>
      <c r="F473" s="206" t="inlineStr">
        <is>
          <t>IS!AD41</t>
        </is>
      </c>
      <c r="G473" s="143" t="inlineStr"/>
    </row>
    <row r="474">
      <c r="A474" s="127" t="inlineStr">
        <is>
          <t>FY26 Total</t>
        </is>
      </c>
      <c r="B474" s="127" t="inlineStr">
        <is>
          <t>Q3 Reforecast</t>
        </is>
      </c>
      <c r="C474" s="139" t="inlineStr">
        <is>
          <t>Base</t>
        </is>
      </c>
      <c r="D474" s="205" t="inlineStr">
        <is>
          <t>iPhone Revenue</t>
        </is>
      </c>
      <c r="E474" s="146">
        <f>IS!AD35</f>
        <v>105469.604264759</v>
      </c>
      <c r="F474" s="206" t="inlineStr">
        <is>
          <t>IS!AD35</t>
        </is>
      </c>
      <c r="G474" s="143" t="inlineStr"/>
    </row>
    <row r="475">
      <c r="A475" s="127" t="inlineStr">
        <is>
          <t>FY26 Total</t>
        </is>
      </c>
      <c r="B475" s="127" t="inlineStr">
        <is>
          <t>Q3 Reforecast</t>
        </is>
      </c>
      <c r="C475" s="139" t="inlineStr">
        <is>
          <t>Base</t>
        </is>
      </c>
      <c r="D475" s="205" t="inlineStr">
        <is>
          <t>Mac Revenue</t>
        </is>
      </c>
      <c r="E475" s="146">
        <f>IS!AD36</f>
        <v>17380.6226075753</v>
      </c>
      <c r="F475" s="206" t="inlineStr">
        <is>
          <t>IS!AD36</t>
        </is>
      </c>
      <c r="G475" s="143" t="inlineStr"/>
    </row>
    <row r="476">
      <c r="A476" s="127" t="inlineStr">
        <is>
          <t>FY26 Total</t>
        </is>
      </c>
      <c r="B476" s="127" t="inlineStr">
        <is>
          <t>Q3 Reforecast</t>
        </is>
      </c>
      <c r="C476" s="139" t="inlineStr">
        <is>
          <t>Base</t>
        </is>
      </c>
      <c r="D476" s="205" t="inlineStr">
        <is>
          <t>iPad Revenue</t>
        </is>
      </c>
      <c r="E476" s="146">
        <f>IS!AD37</f>
        <v>13963.7117820999</v>
      </c>
      <c r="F476" s="206" t="inlineStr">
        <is>
          <t>IS!AD37</t>
        </is>
      </c>
      <c r="G476" s="143" t="inlineStr"/>
    </row>
    <row r="477">
      <c r="A477" s="127" t="inlineStr">
        <is>
          <t>FY26 Total</t>
        </is>
      </c>
      <c r="B477" s="127" t="inlineStr">
        <is>
          <t>Q3 Reforecast</t>
        </is>
      </c>
      <c r="C477" s="139" t="inlineStr">
        <is>
          <t>Base</t>
        </is>
      </c>
      <c r="D477" s="205" t="inlineStr">
        <is>
          <t>Wearables Revenue</t>
        </is>
      </c>
      <c r="E477" s="146">
        <f>IS!AD38</f>
        <v>17344.1600651912</v>
      </c>
      <c r="F477" s="206" t="inlineStr">
        <is>
          <t>IS!AD38</t>
        </is>
      </c>
      <c r="G477" s="143" t="inlineStr"/>
    </row>
    <row r="478">
      <c r="A478" s="127" t="inlineStr">
        <is>
          <t>FY26 Total</t>
        </is>
      </c>
      <c r="B478" s="127" t="inlineStr">
        <is>
          <t>Q3 Reforecast</t>
        </is>
      </c>
      <c r="C478" s="139" t="inlineStr">
        <is>
          <t>Base</t>
        </is>
      </c>
      <c r="D478" s="205" t="inlineStr">
        <is>
          <t>Services Revenue</t>
        </is>
      </c>
      <c r="E478" s="146">
        <f>IS!AD40</f>
        <v>59889.7039927372</v>
      </c>
      <c r="F478" s="206" t="inlineStr">
        <is>
          <t>IS!AD40</t>
        </is>
      </c>
      <c r="G478" s="143" t="inlineStr"/>
    </row>
    <row r="479">
      <c r="A479" s="127" t="inlineStr">
        <is>
          <t>FY26 Total</t>
        </is>
      </c>
      <c r="B479" s="127" t="inlineStr">
        <is>
          <t>Q3 Reforecast</t>
        </is>
      </c>
      <c r="C479" s="139" t="inlineStr">
        <is>
          <t>Base</t>
        </is>
      </c>
      <c r="D479" s="205" t="inlineStr">
        <is>
          <t>Gross Margin $</t>
        </is>
      </c>
      <c r="E479" s="146">
        <f>IS!AD44</f>
        <v>229474.590663998</v>
      </c>
      <c r="F479" s="206" t="inlineStr">
        <is>
          <t>IS!AD44</t>
        </is>
      </c>
      <c r="G479" s="143" t="inlineStr"/>
    </row>
    <row r="480">
      <c r="A480" s="127" t="inlineStr">
        <is>
          <t>FY26 Total</t>
        </is>
      </c>
      <c r="B480" s="127" t="inlineStr">
        <is>
          <t>Q3 Reforecast</t>
        </is>
      </c>
      <c r="C480" s="139" t="inlineStr">
        <is>
          <t>Base</t>
        </is>
      </c>
      <c r="D480" s="205" t="inlineStr">
        <is>
          <t>Gross Margin %</t>
        </is>
      </c>
      <c r="E480" s="142">
        <f>IS!AD45</f>
        <v>1.95970421052027</v>
      </c>
      <c r="F480" s="206" t="inlineStr">
        <is>
          <t>IS!AD45</t>
        </is>
      </c>
      <c r="G480" s="143" t="inlineStr"/>
    </row>
    <row r="481">
      <c r="A481" s="127" t="inlineStr">
        <is>
          <t>FY26 Total</t>
        </is>
      </c>
      <c r="B481" s="127" t="inlineStr">
        <is>
          <t>Q3 Reforecast</t>
        </is>
      </c>
      <c r="C481" s="139" t="inlineStr">
        <is>
          <t>Base</t>
        </is>
      </c>
      <c r="D481" s="205" t="inlineStr">
        <is>
          <t>Operating Income</t>
        </is>
      </c>
      <c r="E481" s="146">
        <f>IS!AD49</f>
        <v>155821.629086318</v>
      </c>
      <c r="F481" s="206" t="inlineStr">
        <is>
          <t>IS!AD49</t>
        </is>
      </c>
      <c r="G481" s="143" t="inlineStr"/>
    </row>
    <row r="482">
      <c r="A482" s="127" t="inlineStr">
        <is>
          <t>FY26 Total</t>
        </is>
      </c>
      <c r="B482" s="127" t="inlineStr">
        <is>
          <t>Q3 Reforecast</t>
        </is>
      </c>
      <c r="C482" s="139" t="inlineStr">
        <is>
          <t>Base</t>
        </is>
      </c>
      <c r="D482" s="205" t="inlineStr">
        <is>
          <t>Net Income</t>
        </is>
      </c>
      <c r="E482" s="146">
        <f>IS!AD53</f>
        <v>128865.585043788</v>
      </c>
      <c r="F482" s="206" t="inlineStr">
        <is>
          <t>IS!AD53</t>
        </is>
      </c>
      <c r="G482" s="143" t="inlineStr"/>
    </row>
    <row r="483">
      <c r="A483" s="127" t="inlineStr">
        <is>
          <t>FY26 Total</t>
        </is>
      </c>
      <c r="B483" s="127" t="inlineStr">
        <is>
          <t>Q3 Reforecast</t>
        </is>
      </c>
      <c r="C483" s="139" t="inlineStr">
        <is>
          <t>Base</t>
        </is>
      </c>
      <c r="D483" s="205" t="inlineStr">
        <is>
          <t>EPS</t>
        </is>
      </c>
      <c r="E483" s="148">
        <f>IS!AD57</f>
        <v>8.75717850895983</v>
      </c>
      <c r="F483" s="206" t="inlineStr">
        <is>
          <t>IS!AD57</t>
        </is>
      </c>
      <c r="G483" s="143" t="inlineStr"/>
    </row>
    <row r="484">
      <c r="A484" s="127" t="inlineStr">
        <is>
          <t>FY26 Total</t>
        </is>
      </c>
      <c r="B484" s="127" t="inlineStr">
        <is>
          <t>Q3 Reforecast</t>
        </is>
      </c>
      <c r="C484" s="139" t="inlineStr">
        <is>
          <t>Base</t>
        </is>
      </c>
      <c r="D484" s="205" t="inlineStr">
        <is>
          <t>Cash</t>
        </is>
      </c>
      <c r="E484" s="146">
        <f>BS!AD9</f>
        <v>29784.5481828373</v>
      </c>
      <c r="F484" s="206" t="inlineStr">
        <is>
          <t>BS!AD9</t>
        </is>
      </c>
      <c r="G484" s="143" t="inlineStr"/>
    </row>
    <row r="485">
      <c r="A485" s="127" t="inlineStr">
        <is>
          <t>FY26 Total</t>
        </is>
      </c>
      <c r="B485" s="127" t="inlineStr">
        <is>
          <t>Q3 Reforecast</t>
        </is>
      </c>
      <c r="C485" s="139" t="inlineStr">
        <is>
          <t>Base</t>
        </is>
      </c>
      <c r="D485" s="205" t="inlineStr">
        <is>
          <t>R&amp;D $</t>
        </is>
      </c>
      <c r="E485" s="146">
        <f>IS!AD47</f>
        <v>44289.4855660209</v>
      </c>
      <c r="F485" s="206" t="inlineStr">
        <is>
          <t>IS!AD47</t>
        </is>
      </c>
      <c r="G485" s="143" t="inlineStr"/>
    </row>
    <row r="486">
      <c r="A486" s="127" t="inlineStr">
        <is>
          <t>FY26 Total</t>
        </is>
      </c>
      <c r="B486" s="127" t="inlineStr">
        <is>
          <t>Q3 Reforecast</t>
        </is>
      </c>
      <c r="C486" s="139" t="inlineStr">
        <is>
          <t>Base</t>
        </is>
      </c>
      <c r="D486" s="205" t="inlineStr">
        <is>
          <t>SG&amp;A $</t>
        </is>
      </c>
      <c r="E486" s="146">
        <f>IS!AD48</f>
        <v>29363.4760116594</v>
      </c>
      <c r="F486" s="206" t="inlineStr">
        <is>
          <t>IS!AD48</t>
        </is>
      </c>
      <c r="G486" s="143" t="inlineStr"/>
    </row>
    <row r="487">
      <c r="A487" s="127" t="inlineStr">
        <is>
          <t>FY26 Total</t>
        </is>
      </c>
      <c r="B487" s="127" t="inlineStr">
        <is>
          <t>Q3 Reforecast</t>
        </is>
      </c>
      <c r="C487" s="139" t="inlineStr">
        <is>
          <t>Base</t>
        </is>
      </c>
      <c r="D487" s="205" t="inlineStr">
        <is>
          <t>Operating Margin %</t>
        </is>
      </c>
      <c r="E487" s="142">
        <f>IS!AD50</f>
        <v>0.332250920354714</v>
      </c>
      <c r="F487" s="206" t="inlineStr">
        <is>
          <t>IS!AD50</t>
        </is>
      </c>
      <c r="G487" s="143" t="inlineStr"/>
    </row>
    <row r="488">
      <c r="A488" s="127" t="inlineStr">
        <is>
          <t>FY26 Total</t>
        </is>
      </c>
      <c r="B488" s="127" t="inlineStr">
        <is>
          <t>Q3 Reforecast</t>
        </is>
      </c>
      <c r="C488" s="139" t="inlineStr">
        <is>
          <t>Base</t>
        </is>
      </c>
      <c r="D488" s="205" t="inlineStr">
        <is>
          <t>AR $</t>
        </is>
      </c>
      <c r="E488" s="146">
        <f>BS!AD11</f>
        <v>41076.037017533</v>
      </c>
      <c r="F488" s="206" t="inlineStr">
        <is>
          <t>BS!AD11</t>
        </is>
      </c>
      <c r="G488" s="143" t="inlineStr"/>
    </row>
    <row r="489">
      <c r="A489" s="127" t="inlineStr">
        <is>
          <t>FY26 Total</t>
        </is>
      </c>
      <c r="B489" s="127" t="inlineStr">
        <is>
          <t>Q3 Reforecast</t>
        </is>
      </c>
      <c r="C489" s="139" t="inlineStr">
        <is>
          <t>Base</t>
        </is>
      </c>
      <c r="D489" s="205" t="inlineStr">
        <is>
          <t>Inventory $</t>
        </is>
      </c>
      <c r="E489" s="146">
        <f>BS!AD13</f>
        <v>6314.43513754953</v>
      </c>
      <c r="F489" s="206" t="inlineStr">
        <is>
          <t>BS!AD13</t>
        </is>
      </c>
      <c r="G489" s="143" t="inlineStr"/>
    </row>
    <row r="490">
      <c r="A490" s="127" t="inlineStr">
        <is>
          <t>FY26 Total</t>
        </is>
      </c>
      <c r="B490" s="127" t="inlineStr">
        <is>
          <t>Q3 Reforecast</t>
        </is>
      </c>
      <c r="C490" s="139" t="inlineStr">
        <is>
          <t>Base</t>
        </is>
      </c>
      <c r="D490" s="205" t="inlineStr">
        <is>
          <t>AP $</t>
        </is>
      </c>
      <c r="E490" s="146">
        <f>BS!AD22</f>
        <v>72616.0040818196</v>
      </c>
      <c r="F490" s="206" t="inlineStr">
        <is>
          <t>BS!AD22</t>
        </is>
      </c>
      <c r="G490" s="143" t="inlineStr"/>
    </row>
    <row r="491">
      <c r="A491" s="127" t="inlineStr">
        <is>
          <t>FY26 Total</t>
        </is>
      </c>
      <c r="B491" s="127" t="inlineStr">
        <is>
          <t>Q3 Reforecast</t>
        </is>
      </c>
      <c r="C491" s="139" t="inlineStr">
        <is>
          <t>Base</t>
        </is>
      </c>
      <c r="D491" s="205" t="inlineStr">
        <is>
          <t>Buyback $</t>
        </is>
      </c>
      <c r="E491" s="146">
        <f>CF!AD25</f>
        <v>-88310.781713957</v>
      </c>
      <c r="F491" s="206" t="inlineStr">
        <is>
          <t>CF!AD25</t>
        </is>
      </c>
      <c r="G491" s="143" t="inlineStr"/>
    </row>
    <row r="492">
      <c r="A492" s="127" t="inlineStr">
        <is>
          <t>FY26 Total</t>
        </is>
      </c>
      <c r="B492" s="127" t="inlineStr">
        <is>
          <t>Q3 Reforecast</t>
        </is>
      </c>
      <c r="C492" s="139" t="inlineStr">
        <is>
          <t>Base</t>
        </is>
      </c>
      <c r="D492" s="205" t="inlineStr">
        <is>
          <t>Dividend $</t>
        </is>
      </c>
      <c r="E492" s="146">
        <f>CF!AD26</f>
        <v>-16321.5877565682</v>
      </c>
      <c r="F492" s="206" t="inlineStr">
        <is>
          <t>CF!AD26</t>
        </is>
      </c>
      <c r="G492" s="143" t="inlineStr"/>
    </row>
    <row r="493">
      <c r="A493" s="127" t="inlineStr">
        <is>
          <t>FY26 Total</t>
        </is>
      </c>
      <c r="B493" s="127" t="inlineStr">
        <is>
          <t>Q3 Reforecast</t>
        </is>
      </c>
      <c r="C493" s="139" t="inlineStr">
        <is>
          <t>Base</t>
        </is>
      </c>
      <c r="D493" s="205" t="inlineStr">
        <is>
          <t>Total Assets $</t>
        </is>
      </c>
      <c r="E493" s="146">
        <f>BS!AD20</f>
        <v>355308.560406007</v>
      </c>
      <c r="F493" s="206" t="inlineStr">
        <is>
          <t>BS!AD20</t>
        </is>
      </c>
      <c r="G493" s="143" t="inlineStr"/>
    </row>
    <row r="494">
      <c r="A494" s="127" t="inlineStr">
        <is>
          <t>FY26 Total</t>
        </is>
      </c>
      <c r="B494" s="127" t="inlineStr">
        <is>
          <t>Q3 Reforecast</t>
        </is>
      </c>
      <c r="C494" s="139" t="inlineStr">
        <is>
          <t>Base</t>
        </is>
      </c>
      <c r="D494" s="205" t="inlineStr">
        <is>
          <t>Total Liabilities $</t>
        </is>
      </c>
      <c r="E494" s="146">
        <f>BS!AD31</f>
        <v>288264.00408182</v>
      </c>
      <c r="F494" s="206" t="inlineStr">
        <is>
          <t>BS!AD31</t>
        </is>
      </c>
      <c r="G494" s="143" t="inlineStr"/>
    </row>
    <row r="495">
      <c r="A495" s="127" t="inlineStr">
        <is>
          <t>FY26 Total</t>
        </is>
      </c>
      <c r="B495" s="127" t="inlineStr">
        <is>
          <t>Q3 Reforecast</t>
        </is>
      </c>
      <c r="C495" s="139" t="inlineStr">
        <is>
          <t>Base</t>
        </is>
      </c>
      <c r="D495" s="205" t="inlineStr">
        <is>
          <t>Total Equity $</t>
        </is>
      </c>
      <c r="E495" s="146">
        <f>BS!AD36</f>
        <v>67044.5563241869</v>
      </c>
      <c r="F495" s="206" t="inlineStr">
        <is>
          <t>BS!AD36</t>
        </is>
      </c>
      <c r="G495" s="143" t="inlineStr"/>
    </row>
    <row r="496">
      <c r="A496" s="127" t="inlineStr">
        <is>
          <t>FY26 Total</t>
        </is>
      </c>
      <c r="B496" s="127" t="inlineStr">
        <is>
          <t>Q3 Reforecast</t>
        </is>
      </c>
      <c r="C496" s="139" t="inlineStr">
        <is>
          <t>Base</t>
        </is>
      </c>
      <c r="D496" s="205" t="inlineStr">
        <is>
          <t>DSO</t>
        </is>
      </c>
      <c r="E496" s="190">
        <f>Drivers!G41</f>
        <v>33</v>
      </c>
      <c r="F496" s="206" t="inlineStr">
        <is>
          <t>Drivers!G41</t>
        </is>
      </c>
      <c r="G496" s="143" t="inlineStr">
        <is>
          <t>Drivers tab Active-column assumption (days), cascades with the live Drivers!B6 scenario switch -- constant across every quarter within this vintage (not period-specific), since DSO/DIO/DPO are not part of any vintage's Driver Adjustment Log.</t>
        </is>
      </c>
    </row>
    <row r="497">
      <c r="A497" s="127" t="inlineStr">
        <is>
          <t>FY26 Total</t>
        </is>
      </c>
      <c r="B497" s="127" t="inlineStr">
        <is>
          <t>Q3 Reforecast</t>
        </is>
      </c>
      <c r="C497" s="139" t="inlineStr">
        <is>
          <t>Base</t>
        </is>
      </c>
      <c r="D497" s="205" t="inlineStr">
        <is>
          <t>DIO</t>
        </is>
      </c>
      <c r="E497" s="190">
        <f>Drivers!G42</f>
        <v>10</v>
      </c>
      <c r="F497" s="206" t="inlineStr">
        <is>
          <t>Drivers!G42</t>
        </is>
      </c>
      <c r="G497" s="143" t="inlineStr">
        <is>
          <t>Drivers tab Active-column assumption (days), cascades with the live Drivers!B6 scenario switch -- constant across every quarter within this vintage (not period-specific), since DSO/DIO/DPO are not part of any vintage's Driver Adjustment Log.</t>
        </is>
      </c>
    </row>
    <row r="498">
      <c r="A498" s="127" t="inlineStr">
        <is>
          <t>FY26 Total</t>
        </is>
      </c>
      <c r="B498" s="127" t="inlineStr">
        <is>
          <t>Q3 Reforecast</t>
        </is>
      </c>
      <c r="C498" s="139" t="inlineStr">
        <is>
          <t>Base</t>
        </is>
      </c>
      <c r="D498" s="205" t="inlineStr">
        <is>
          <t>DPO</t>
        </is>
      </c>
      <c r="E498" s="190">
        <f>Drivers!G43</f>
        <v>115</v>
      </c>
      <c r="F498" s="206" t="inlineStr">
        <is>
          <t>Drivers!G43</t>
        </is>
      </c>
      <c r="G498" s="143" t="inlineStr">
        <is>
          <t>Drivers tab Active-column assumption (days), cascades with the live Drivers!B6 scenario switch -- constant across every quarter within this vintage (not period-specific), since DSO/DIO/DPO are not part of any vintage's Driver Adjustment Log.</t>
        </is>
      </c>
    </row>
    <row r="499">
      <c r="A499" s="127" t="inlineStr">
        <is>
          <t>FY27 Q1</t>
        </is>
      </c>
      <c r="B499" s="127" t="inlineStr">
        <is>
          <t>FY2027 AOP</t>
        </is>
      </c>
      <c r="C499" s="139" t="inlineStr">
        <is>
          <t>Base</t>
        </is>
      </c>
      <c r="D499" s="205" t="inlineStr">
        <is>
          <t>Revenue</t>
        </is>
      </c>
      <c r="E499" s="146">
        <f>IS!AF41</f>
        <v>142841.793677747</v>
      </c>
      <c r="F499" s="206" t="inlineStr">
        <is>
          <t>IS!AF41</t>
        </is>
      </c>
      <c r="G499" s="143" t="inlineStr"/>
    </row>
    <row r="500">
      <c r="A500" s="127" t="inlineStr">
        <is>
          <t>FY27 Q1</t>
        </is>
      </c>
      <c r="B500" s="127" t="inlineStr">
        <is>
          <t>FY2027 AOP</t>
        </is>
      </c>
      <c r="C500" s="139" t="inlineStr">
        <is>
          <t>Base</t>
        </is>
      </c>
      <c r="D500" s="205" t="inlineStr">
        <is>
          <t>iPhone Revenue</t>
        </is>
      </c>
      <c r="E500" s="146">
        <f>IS!AF35</f>
        <v>69260.0870987589</v>
      </c>
      <c r="F500" s="206" t="inlineStr">
        <is>
          <t>IS!AF35</t>
        </is>
      </c>
      <c r="G500" s="143" t="inlineStr"/>
    </row>
    <row r="501">
      <c r="A501" s="127" t="inlineStr">
        <is>
          <t>FY27 Q1</t>
        </is>
      </c>
      <c r="B501" s="127" t="inlineStr">
        <is>
          <t>FY2027 AOP</t>
        </is>
      </c>
      <c r="C501" s="139" t="inlineStr">
        <is>
          <t>Base</t>
        </is>
      </c>
      <c r="D501" s="205" t="inlineStr">
        <is>
          <t>Mac Revenue</t>
        </is>
      </c>
      <c r="E501" s="146">
        <f>IS!AF36</f>
        <v>11694.680022228</v>
      </c>
      <c r="F501" s="206" t="inlineStr">
        <is>
          <t>IS!AF36</t>
        </is>
      </c>
      <c r="G501" s="143" t="inlineStr"/>
    </row>
    <row r="502">
      <c r="A502" s="127" t="inlineStr">
        <is>
          <t>FY27 Q1</t>
        </is>
      </c>
      <c r="B502" s="127" t="inlineStr">
        <is>
          <t>FY2027 AOP</t>
        </is>
      </c>
      <c r="C502" s="139" t="inlineStr">
        <is>
          <t>Base</t>
        </is>
      </c>
      <c r="D502" s="205" t="inlineStr">
        <is>
          <t>iPad Revenue</t>
        </is>
      </c>
      <c r="E502" s="146">
        <f>IS!AF37</f>
        <v>9124.55985911761</v>
      </c>
      <c r="F502" s="206" t="inlineStr">
        <is>
          <t>IS!AF37</t>
        </is>
      </c>
      <c r="G502" s="143" t="inlineStr"/>
    </row>
    <row r="503">
      <c r="A503" s="127" t="inlineStr">
        <is>
          <t>FY27 Q1</t>
        </is>
      </c>
      <c r="B503" s="127" t="inlineStr">
        <is>
          <t>FY2027 AOP</t>
        </is>
      </c>
      <c r="C503" s="139" t="inlineStr">
        <is>
          <t>Base</t>
        </is>
      </c>
      <c r="D503" s="205" t="inlineStr">
        <is>
          <t>Wearables Revenue</t>
        </is>
      </c>
      <c r="E503" s="146">
        <f>IS!AF38</f>
        <v>11109.0812235826</v>
      </c>
      <c r="F503" s="206" t="inlineStr">
        <is>
          <t>IS!AF38</t>
        </is>
      </c>
      <c r="G503" s="143" t="inlineStr"/>
    </row>
    <row r="504">
      <c r="A504" s="127" t="inlineStr">
        <is>
          <t>FY27 Q1</t>
        </is>
      </c>
      <c r="B504" s="127" t="inlineStr">
        <is>
          <t>FY2027 AOP</t>
        </is>
      </c>
      <c r="C504" s="139" t="inlineStr">
        <is>
          <t>Base</t>
        </is>
      </c>
      <c r="D504" s="205" t="inlineStr">
        <is>
          <t>Services Revenue</t>
        </is>
      </c>
      <c r="E504" s="146">
        <f>IS!AF40</f>
        <v>41653.3854740594</v>
      </c>
      <c r="F504" s="206" t="inlineStr">
        <is>
          <t>IS!AF40</t>
        </is>
      </c>
      <c r="G504" s="143" t="inlineStr"/>
    </row>
    <row r="505">
      <c r="A505" s="127" t="inlineStr">
        <is>
          <t>FY27 Q1</t>
        </is>
      </c>
      <c r="B505" s="127" t="inlineStr">
        <is>
          <t>FY2027 AOP</t>
        </is>
      </c>
      <c r="C505" s="139" t="inlineStr">
        <is>
          <t>Base</t>
        </is>
      </c>
      <c r="D505" s="205" t="inlineStr">
        <is>
          <t>Gross Margin $</t>
        </is>
      </c>
      <c r="E505" s="146">
        <f>IS!AF44</f>
        <v>68888.0170682791</v>
      </c>
      <c r="F505" s="206" t="inlineStr">
        <is>
          <t>IS!AF44</t>
        </is>
      </c>
      <c r="G505" s="143" t="inlineStr"/>
    </row>
    <row r="506">
      <c r="A506" s="127" t="inlineStr">
        <is>
          <t>FY27 Q1</t>
        </is>
      </c>
      <c r="B506" s="127" t="inlineStr">
        <is>
          <t>FY2027 AOP</t>
        </is>
      </c>
      <c r="C506" s="139" t="inlineStr">
        <is>
          <t>Base</t>
        </is>
      </c>
      <c r="D506" s="205" t="inlineStr">
        <is>
          <t>Gross Margin %</t>
        </is>
      </c>
      <c r="E506" s="142">
        <f>IS!AF45</f>
        <v>0.482267936397464</v>
      </c>
      <c r="F506" s="206" t="inlineStr">
        <is>
          <t>IS!AF45</t>
        </is>
      </c>
      <c r="G506" s="143" t="inlineStr"/>
    </row>
    <row r="507">
      <c r="A507" s="127" t="inlineStr">
        <is>
          <t>FY27 Q1</t>
        </is>
      </c>
      <c r="B507" s="127" t="inlineStr">
        <is>
          <t>FY2027 AOP</t>
        </is>
      </c>
      <c r="C507" s="139" t="inlineStr">
        <is>
          <t>Base</t>
        </is>
      </c>
      <c r="D507" s="205" t="inlineStr">
        <is>
          <t>Operating Income</t>
        </is>
      </c>
      <c r="E507" s="146">
        <f>IS!AF49</f>
        <v>47604.5898102949</v>
      </c>
      <c r="F507" s="206" t="inlineStr">
        <is>
          <t>IS!AF49</t>
        </is>
      </c>
      <c r="G507" s="143" t="inlineStr"/>
    </row>
    <row r="508">
      <c r="A508" s="127" t="inlineStr">
        <is>
          <t>FY27 Q1</t>
        </is>
      </c>
      <c r="B508" s="127" t="inlineStr">
        <is>
          <t>FY2027 AOP</t>
        </is>
      </c>
      <c r="C508" s="139" t="inlineStr">
        <is>
          <t>Base</t>
        </is>
      </c>
      <c r="D508" s="205" t="inlineStr">
        <is>
          <t>Net Income</t>
        </is>
      </c>
      <c r="E508" s="146">
        <f>IS!AF53</f>
        <v>39987.8554406477</v>
      </c>
      <c r="F508" s="206" t="inlineStr">
        <is>
          <t>IS!AF53</t>
        </is>
      </c>
      <c r="G508" s="143" t="inlineStr"/>
    </row>
    <row r="509">
      <c r="A509" s="127" t="inlineStr">
        <is>
          <t>FY27 Q1</t>
        </is>
      </c>
      <c r="B509" s="127" t="inlineStr">
        <is>
          <t>FY2027 AOP</t>
        </is>
      </c>
      <c r="C509" s="139" t="inlineStr">
        <is>
          <t>Base</t>
        </is>
      </c>
      <c r="D509" s="205" t="inlineStr">
        <is>
          <t>EPS</t>
        </is>
      </c>
      <c r="E509" s="148">
        <f>IS!AF57</f>
        <v>2.71741123252762</v>
      </c>
      <c r="F509" s="206" t="inlineStr">
        <is>
          <t>IS!AF57</t>
        </is>
      </c>
      <c r="G509" s="143" t="inlineStr"/>
    </row>
    <row r="510">
      <c r="A510" s="127" t="inlineStr">
        <is>
          <t>FY27 Q1</t>
        </is>
      </c>
      <c r="B510" s="127" t="inlineStr">
        <is>
          <t>FY2027 AOP</t>
        </is>
      </c>
      <c r="C510" s="139" t="inlineStr">
        <is>
          <t>Base</t>
        </is>
      </c>
      <c r="D510" s="205" t="inlineStr">
        <is>
          <t>FCF</t>
        </is>
      </c>
      <c r="E510" s="146">
        <f>CF!AF32</f>
        <v>48564.601028734</v>
      </c>
      <c r="F510" s="206" t="inlineStr">
        <is>
          <t>CF!AF32</t>
        </is>
      </c>
      <c r="G510" s="143" t="inlineStr"/>
    </row>
    <row r="511">
      <c r="A511" s="127" t="inlineStr">
        <is>
          <t>FY27 Q1</t>
        </is>
      </c>
      <c r="B511" s="127" t="inlineStr">
        <is>
          <t>FY2027 AOP</t>
        </is>
      </c>
      <c r="C511" s="139" t="inlineStr">
        <is>
          <t>Base</t>
        </is>
      </c>
      <c r="D511" s="205" t="inlineStr">
        <is>
          <t>Cash</t>
        </is>
      </c>
      <c r="E511" s="146">
        <f>BS!AF9</f>
        <v>28642.8299696136</v>
      </c>
      <c r="F511" s="206" t="inlineStr">
        <is>
          <t>BS!AF9</t>
        </is>
      </c>
      <c r="G511" s="143" t="inlineStr"/>
    </row>
    <row r="512">
      <c r="A512" s="127" t="inlineStr">
        <is>
          <t>FY27 Q1</t>
        </is>
      </c>
      <c r="B512" s="127" t="inlineStr">
        <is>
          <t>FY2027 AOP</t>
        </is>
      </c>
      <c r="C512" s="139" t="inlineStr">
        <is>
          <t>Base</t>
        </is>
      </c>
      <c r="D512" s="205" t="inlineStr">
        <is>
          <t>R&amp;D $</t>
        </is>
      </c>
      <c r="E512" s="146">
        <f>IS!AF47</f>
        <v>11855.868875253</v>
      </c>
      <c r="F512" s="206" t="inlineStr">
        <is>
          <t>IS!AF47</t>
        </is>
      </c>
      <c r="G512" s="143" t="inlineStr"/>
    </row>
    <row r="513">
      <c r="A513" s="127" t="inlineStr">
        <is>
          <t>FY27 Q1</t>
        </is>
      </c>
      <c r="B513" s="127" t="inlineStr">
        <is>
          <t>FY2027 AOP</t>
        </is>
      </c>
      <c r="C513" s="139" t="inlineStr">
        <is>
          <t>Base</t>
        </is>
      </c>
      <c r="D513" s="205" t="inlineStr">
        <is>
          <t>SG&amp;A $</t>
        </is>
      </c>
      <c r="E513" s="146">
        <f>IS!AF48</f>
        <v>9427.55838273127</v>
      </c>
      <c r="F513" s="206" t="inlineStr">
        <is>
          <t>IS!AF48</t>
        </is>
      </c>
      <c r="G513" s="143" t="inlineStr"/>
    </row>
    <row r="514">
      <c r="A514" s="127" t="inlineStr">
        <is>
          <t>FY27 Q1</t>
        </is>
      </c>
      <c r="B514" s="127" t="inlineStr">
        <is>
          <t>FY2027 AOP</t>
        </is>
      </c>
      <c r="C514" s="139" t="inlineStr">
        <is>
          <t>Base</t>
        </is>
      </c>
      <c r="D514" s="205" t="inlineStr">
        <is>
          <t>Operating Margin %</t>
        </is>
      </c>
      <c r="E514" s="142">
        <f>IS!AF50</f>
        <v>0.333267936397464</v>
      </c>
      <c r="F514" s="206" t="inlineStr">
        <is>
          <t>IS!AF50</t>
        </is>
      </c>
      <c r="G514" s="143" t="inlineStr"/>
    </row>
    <row r="515">
      <c r="A515" s="127" t="inlineStr">
        <is>
          <t>FY27 Q1</t>
        </is>
      </c>
      <c r="B515" s="127" t="inlineStr">
        <is>
          <t>FY2027 AOP</t>
        </is>
      </c>
      <c r="C515" s="139" t="inlineStr">
        <is>
          <t>Base</t>
        </is>
      </c>
      <c r="D515" s="205" t="inlineStr">
        <is>
          <t>AR $</t>
        </is>
      </c>
      <c r="E515" s="146">
        <f>BS!AF11</f>
        <v>52375.3243485071</v>
      </c>
      <c r="F515" s="206" t="inlineStr">
        <is>
          <t>BS!AF11</t>
        </is>
      </c>
      <c r="G515" s="143" t="inlineStr"/>
    </row>
    <row r="516">
      <c r="A516" s="127" t="inlineStr">
        <is>
          <t>FY27 Q1</t>
        </is>
      </c>
      <c r="B516" s="127" t="inlineStr">
        <is>
          <t>FY2027 AOP</t>
        </is>
      </c>
      <c r="C516" s="139" t="inlineStr">
        <is>
          <t>Base</t>
        </is>
      </c>
      <c r="D516" s="205" t="inlineStr">
        <is>
          <t>Inventory $</t>
        </is>
      </c>
      <c r="E516" s="146">
        <f>BS!AF13</f>
        <v>8217.08628994083</v>
      </c>
      <c r="F516" s="206" t="inlineStr">
        <is>
          <t>BS!AF13</t>
        </is>
      </c>
      <c r="G516" s="143" t="inlineStr"/>
    </row>
    <row r="517">
      <c r="A517" s="127" t="inlineStr">
        <is>
          <t>FY27 Q1</t>
        </is>
      </c>
      <c r="B517" s="127" t="inlineStr">
        <is>
          <t>FY2027 AOP</t>
        </is>
      </c>
      <c r="C517" s="139" t="inlineStr">
        <is>
          <t>Base</t>
        </is>
      </c>
      <c r="D517" s="205" t="inlineStr">
        <is>
          <t>AP $</t>
        </is>
      </c>
      <c r="E517" s="146">
        <f>BS!AF22</f>
        <v>94496.4923343195</v>
      </c>
      <c r="F517" s="206" t="inlineStr">
        <is>
          <t>BS!AF22</t>
        </is>
      </c>
      <c r="G517" s="143" t="inlineStr"/>
    </row>
    <row r="518">
      <c r="A518" s="127" t="inlineStr">
        <is>
          <t>FY27 Q1</t>
        </is>
      </c>
      <c r="B518" s="127" t="inlineStr">
        <is>
          <t>FY2027 AOP</t>
        </is>
      </c>
      <c r="C518" s="139" t="inlineStr">
        <is>
          <t>Base</t>
        </is>
      </c>
      <c r="D518" s="205" t="inlineStr">
        <is>
          <t>CapEx $</t>
        </is>
      </c>
      <c r="E518" s="146">
        <f>CF!AF22</f>
        <v>-4285.2538103324</v>
      </c>
      <c r="F518" s="206" t="inlineStr">
        <is>
          <t>CF!AF22</t>
        </is>
      </c>
      <c r="G518" s="143" t="inlineStr"/>
    </row>
    <row r="519">
      <c r="A519" s="127" t="inlineStr">
        <is>
          <t>FY27 Q1</t>
        </is>
      </c>
      <c r="B519" s="127" t="inlineStr">
        <is>
          <t>FY2027 AOP</t>
        </is>
      </c>
      <c r="C519" s="139" t="inlineStr">
        <is>
          <t>Base</t>
        </is>
      </c>
      <c r="D519" s="205" t="inlineStr">
        <is>
          <t>Buyback $</t>
        </is>
      </c>
      <c r="E519" s="146">
        <f>CF!AF25</f>
        <v>-43708.1409258606</v>
      </c>
      <c r="F519" s="206" t="inlineStr">
        <is>
          <t>CF!AF25</t>
        </is>
      </c>
      <c r="G519" s="143" t="inlineStr"/>
    </row>
    <row r="520">
      <c r="A520" s="127" t="inlineStr">
        <is>
          <t>FY27 Q1</t>
        </is>
      </c>
      <c r="B520" s="127" t="inlineStr">
        <is>
          <t>FY2027 AOP</t>
        </is>
      </c>
      <c r="C520" s="139" t="inlineStr">
        <is>
          <t>Base</t>
        </is>
      </c>
      <c r="D520" s="205" t="inlineStr">
        <is>
          <t>Dividend $</t>
        </is>
      </c>
      <c r="E520" s="146">
        <f>CF!AF26</f>
        <v>-5998.17831609715</v>
      </c>
      <c r="F520" s="206" t="inlineStr">
        <is>
          <t>CF!AF26</t>
        </is>
      </c>
      <c r="G520" s="143" t="inlineStr"/>
    </row>
    <row r="521">
      <c r="A521" s="127" t="inlineStr">
        <is>
          <t>FY27 Q1</t>
        </is>
      </c>
      <c r="B521" s="127" t="inlineStr">
        <is>
          <t>FY2027 AOP</t>
        </is>
      </c>
      <c r="C521" s="139" t="inlineStr">
        <is>
          <t>Base</t>
        </is>
      </c>
      <c r="D521" s="205" t="inlineStr">
        <is>
          <t>Total Assets $</t>
        </is>
      </c>
      <c r="E521" s="146">
        <f>BS!AF20</f>
        <v>367470.584857196</v>
      </c>
      <c r="F521" s="206" t="inlineStr">
        <is>
          <t>BS!AF20</t>
        </is>
      </c>
      <c r="G521" s="143" t="inlineStr"/>
    </row>
    <row r="522">
      <c r="A522" s="127" t="inlineStr">
        <is>
          <t>FY27 Q1</t>
        </is>
      </c>
      <c r="B522" s="127" t="inlineStr">
        <is>
          <t>FY2027 AOP</t>
        </is>
      </c>
      <c r="C522" s="139" t="inlineStr">
        <is>
          <t>Base</t>
        </is>
      </c>
      <c r="D522" s="205" t="inlineStr">
        <is>
          <t>Total Liabilities $</t>
        </is>
      </c>
      <c r="E522" s="146">
        <f>BS!AF31</f>
        <v>310144.49233432</v>
      </c>
      <c r="F522" s="206" t="inlineStr">
        <is>
          <t>BS!AF31</t>
        </is>
      </c>
      <c r="G522" s="143" t="inlineStr"/>
    </row>
    <row r="523">
      <c r="A523" s="127" t="inlineStr">
        <is>
          <t>FY27 Q1</t>
        </is>
      </c>
      <c r="B523" s="127" t="inlineStr">
        <is>
          <t>FY2027 AOP</t>
        </is>
      </c>
      <c r="C523" s="139" t="inlineStr">
        <is>
          <t>Base</t>
        </is>
      </c>
      <c r="D523" s="205" t="inlineStr">
        <is>
          <t>Total Equity $</t>
        </is>
      </c>
      <c r="E523" s="146">
        <f>BS!AF36</f>
        <v>57326.0925228768</v>
      </c>
      <c r="F523" s="206" t="inlineStr">
        <is>
          <t>BS!AF36</t>
        </is>
      </c>
      <c r="G523" s="143" t="inlineStr"/>
    </row>
    <row r="524">
      <c r="A524" s="127" t="inlineStr">
        <is>
          <t>FY27 Q1</t>
        </is>
      </c>
      <c r="B524" s="127" t="inlineStr">
        <is>
          <t>FY2027 AOP</t>
        </is>
      </c>
      <c r="C524" s="139" t="inlineStr">
        <is>
          <t>Base</t>
        </is>
      </c>
      <c r="D524" s="205" t="inlineStr">
        <is>
          <t>DSO</t>
        </is>
      </c>
      <c r="E524" s="190">
        <f>Drivers!G41</f>
        <v>33</v>
      </c>
      <c r="F524" s="206" t="inlineStr">
        <is>
          <t>Drivers!G41</t>
        </is>
      </c>
      <c r="G524" s="143" t="inlineStr">
        <is>
          <t>Drivers tab Active-column assumption (days), cascades with the live Drivers!B6 scenario switch -- constant across every quarter within this vintage (not period-specific), since DSO/DIO/DPO are not part of any vintage's Driver Adjustment Log.</t>
        </is>
      </c>
    </row>
    <row r="525">
      <c r="A525" s="127" t="inlineStr">
        <is>
          <t>FY27 Q1</t>
        </is>
      </c>
      <c r="B525" s="127" t="inlineStr">
        <is>
          <t>FY2027 AOP</t>
        </is>
      </c>
      <c r="C525" s="139" t="inlineStr">
        <is>
          <t>Base</t>
        </is>
      </c>
      <c r="D525" s="205" t="inlineStr">
        <is>
          <t>DIO</t>
        </is>
      </c>
      <c r="E525" s="190">
        <f>Drivers!G42</f>
        <v>10</v>
      </c>
      <c r="F525" s="206" t="inlineStr">
        <is>
          <t>Drivers!G42</t>
        </is>
      </c>
      <c r="G525" s="143" t="inlineStr">
        <is>
          <t>Drivers tab Active-column assumption (days), cascades with the live Drivers!B6 scenario switch -- constant across every quarter within this vintage (not period-specific), since DSO/DIO/DPO are not part of any vintage's Driver Adjustment Log.</t>
        </is>
      </c>
    </row>
    <row r="526">
      <c r="A526" s="127" t="inlineStr">
        <is>
          <t>FY27 Q1</t>
        </is>
      </c>
      <c r="B526" s="127" t="inlineStr">
        <is>
          <t>FY2027 AOP</t>
        </is>
      </c>
      <c r="C526" s="139" t="inlineStr">
        <is>
          <t>Base</t>
        </is>
      </c>
      <c r="D526" s="205" t="inlineStr">
        <is>
          <t>DPO</t>
        </is>
      </c>
      <c r="E526" s="190">
        <f>Drivers!G43</f>
        <v>115</v>
      </c>
      <c r="F526" s="206" t="inlineStr">
        <is>
          <t>Drivers!G43</t>
        </is>
      </c>
      <c r="G526" s="143" t="inlineStr">
        <is>
          <t>Drivers tab Active-column assumption (days), cascades with the live Drivers!B6 scenario switch -- constant across every quarter within this vintage (not period-specific), since DSO/DIO/DPO are not part of any vintage's Driver Adjustment Log.</t>
        </is>
      </c>
    </row>
    <row r="527">
      <c r="A527" s="127" t="inlineStr">
        <is>
          <t>FY27 Q2</t>
        </is>
      </c>
      <c r="B527" s="127" t="inlineStr">
        <is>
          <t>FY2027 AOP</t>
        </is>
      </c>
      <c r="C527" s="139" t="inlineStr">
        <is>
          <t>Base</t>
        </is>
      </c>
      <c r="D527" s="205" t="inlineStr">
        <is>
          <t>Revenue</t>
        </is>
      </c>
      <c r="E527" s="146">
        <f>IS!AG41</f>
        <v>108990.762856274</v>
      </c>
      <c r="F527" s="206" t="inlineStr">
        <is>
          <t>IS!AG41</t>
        </is>
      </c>
      <c r="G527" s="143" t="inlineStr"/>
    </row>
    <row r="528">
      <c r="A528" s="127" t="inlineStr">
        <is>
          <t>FY27 Q2</t>
        </is>
      </c>
      <c r="B528" s="127" t="inlineStr">
        <is>
          <t>FY2027 AOP</t>
        </is>
      </c>
      <c r="C528" s="139" t="inlineStr">
        <is>
          <t>Base</t>
        </is>
      </c>
      <c r="D528" s="205" t="inlineStr">
        <is>
          <t>iPhone Revenue</t>
        </is>
      </c>
      <c r="E528" s="146">
        <f>IS!AG35</f>
        <v>52846.6461672678</v>
      </c>
      <c r="F528" s="206" t="inlineStr">
        <is>
          <t>IS!AG35</t>
        </is>
      </c>
      <c r="G528" s="143" t="inlineStr"/>
    </row>
    <row r="529">
      <c r="A529" s="127" t="inlineStr">
        <is>
          <t>FY27 Q2</t>
        </is>
      </c>
      <c r="B529" s="127" t="inlineStr">
        <is>
          <t>FY2027 AOP</t>
        </is>
      </c>
      <c r="C529" s="139" t="inlineStr">
        <is>
          <t>Base</t>
        </is>
      </c>
      <c r="D529" s="205" t="inlineStr">
        <is>
          <t>Mac Revenue</t>
        </is>
      </c>
      <c r="E529" s="146">
        <f>IS!AG36</f>
        <v>8923.24343012808</v>
      </c>
      <c r="F529" s="206" t="inlineStr">
        <is>
          <t>IS!AG36</t>
        </is>
      </c>
      <c r="G529" s="143" t="inlineStr"/>
    </row>
    <row r="530">
      <c r="A530" s="127" t="inlineStr">
        <is>
          <t>FY27 Q2</t>
        </is>
      </c>
      <c r="B530" s="127" t="inlineStr">
        <is>
          <t>FY2027 AOP</t>
        </is>
      </c>
      <c r="C530" s="139" t="inlineStr">
        <is>
          <t>Base</t>
        </is>
      </c>
      <c r="D530" s="205" t="inlineStr">
        <is>
          <t>iPad Revenue</t>
        </is>
      </c>
      <c r="E530" s="146">
        <f>IS!AG37</f>
        <v>6962.19722651033</v>
      </c>
      <c r="F530" s="206" t="inlineStr">
        <is>
          <t>IS!AG37</t>
        </is>
      </c>
      <c r="G530" s="143" t="inlineStr"/>
    </row>
    <row r="531">
      <c r="A531" s="127" t="inlineStr">
        <is>
          <t>FY27 Q2</t>
        </is>
      </c>
      <c r="B531" s="127" t="inlineStr">
        <is>
          <t>FY2027 AOP</t>
        </is>
      </c>
      <c r="C531" s="139" t="inlineStr">
        <is>
          <t>Base</t>
        </is>
      </c>
      <c r="D531" s="205" t="inlineStr">
        <is>
          <t>Wearables Revenue</t>
        </is>
      </c>
      <c r="E531" s="146">
        <f>IS!AG38</f>
        <v>8476.42140312334</v>
      </c>
      <c r="F531" s="206" t="inlineStr">
        <is>
          <t>IS!AG38</t>
        </is>
      </c>
      <c r="G531" s="143" t="inlineStr"/>
    </row>
    <row r="532">
      <c r="A532" s="127" t="inlineStr">
        <is>
          <t>FY27 Q2</t>
        </is>
      </c>
      <c r="B532" s="127" t="inlineStr">
        <is>
          <t>FY2027 AOP</t>
        </is>
      </c>
      <c r="C532" s="139" t="inlineStr">
        <is>
          <t>Base</t>
        </is>
      </c>
      <c r="D532" s="205" t="inlineStr">
        <is>
          <t>Services Revenue</t>
        </is>
      </c>
      <c r="E532" s="146">
        <f>IS!AG40</f>
        <v>31782.2546292449</v>
      </c>
      <c r="F532" s="206" t="inlineStr">
        <is>
          <t>IS!AG40</t>
        </is>
      </c>
      <c r="G532" s="143" t="inlineStr"/>
    </row>
    <row r="533">
      <c r="A533" s="127" t="inlineStr">
        <is>
          <t>FY27 Q2</t>
        </is>
      </c>
      <c r="B533" s="127" t="inlineStr">
        <is>
          <t>FY2027 AOP</t>
        </is>
      </c>
      <c r="C533" s="139" t="inlineStr">
        <is>
          <t>Base</t>
        </is>
      </c>
      <c r="D533" s="205" t="inlineStr">
        <is>
          <t>Gross Margin $</t>
        </is>
      </c>
      <c r="E533" s="146">
        <f>IS!AG44</f>
        <v>52562.7502890808</v>
      </c>
      <c r="F533" s="206" t="inlineStr">
        <is>
          <t>IS!AG44</t>
        </is>
      </c>
      <c r="G533" s="143" t="inlineStr"/>
    </row>
    <row r="534">
      <c r="A534" s="127" t="inlineStr">
        <is>
          <t>FY27 Q2</t>
        </is>
      </c>
      <c r="B534" s="127" t="inlineStr">
        <is>
          <t>FY2027 AOP</t>
        </is>
      </c>
      <c r="C534" s="139" t="inlineStr">
        <is>
          <t>Base</t>
        </is>
      </c>
      <c r="D534" s="205" t="inlineStr">
        <is>
          <t>Gross Margin %</t>
        </is>
      </c>
      <c r="E534" s="142">
        <f>IS!AG45</f>
        <v>0.482267936397464</v>
      </c>
      <c r="F534" s="206" t="inlineStr">
        <is>
          <t>IS!AG45</t>
        </is>
      </c>
      <c r="G534" s="143" t="inlineStr"/>
    </row>
    <row r="535">
      <c r="A535" s="127" t="inlineStr">
        <is>
          <t>FY27 Q2</t>
        </is>
      </c>
      <c r="B535" s="127" t="inlineStr">
        <is>
          <t>FY2027 AOP</t>
        </is>
      </c>
      <c r="C535" s="139" t="inlineStr">
        <is>
          <t>Base</t>
        </is>
      </c>
      <c r="D535" s="205" t="inlineStr">
        <is>
          <t>Operating Income</t>
        </is>
      </c>
      <c r="E535" s="146">
        <f>IS!AG49</f>
        <v>36323.1266234959</v>
      </c>
      <c r="F535" s="206" t="inlineStr">
        <is>
          <t>IS!AG49</t>
        </is>
      </c>
      <c r="G535" s="143" t="inlineStr"/>
    </row>
    <row r="536">
      <c r="A536" s="127" t="inlineStr">
        <is>
          <t>FY27 Q2</t>
        </is>
      </c>
      <c r="B536" s="127" t="inlineStr">
        <is>
          <t>FY2027 AOP</t>
        </is>
      </c>
      <c r="C536" s="139" t="inlineStr">
        <is>
          <t>Base</t>
        </is>
      </c>
      <c r="D536" s="205" t="inlineStr">
        <is>
          <t>Net Income</t>
        </is>
      </c>
      <c r="E536" s="146">
        <f>IS!AG53</f>
        <v>30511.4263637366</v>
      </c>
      <c r="F536" s="206" t="inlineStr">
        <is>
          <t>IS!AG53</t>
        </is>
      </c>
      <c r="G536" s="143" t="inlineStr"/>
    </row>
    <row r="537">
      <c r="A537" s="127" t="inlineStr">
        <is>
          <t>FY27 Q2</t>
        </is>
      </c>
      <c r="B537" s="127" t="inlineStr">
        <is>
          <t>FY2027 AOP</t>
        </is>
      </c>
      <c r="C537" s="139" t="inlineStr">
        <is>
          <t>Base</t>
        </is>
      </c>
      <c r="D537" s="205" t="inlineStr">
        <is>
          <t>EPS</t>
        </is>
      </c>
      <c r="E537" s="148">
        <f>IS!AG57</f>
        <v>2.07343184093281</v>
      </c>
      <c r="F537" s="206" t="inlineStr">
        <is>
          <t>IS!AG57</t>
        </is>
      </c>
      <c r="G537" s="143" t="inlineStr"/>
    </row>
    <row r="538">
      <c r="A538" s="127" t="inlineStr">
        <is>
          <t>FY27 Q2</t>
        </is>
      </c>
      <c r="B538" s="127" t="inlineStr">
        <is>
          <t>FY2027 AOP</t>
        </is>
      </c>
      <c r="C538" s="139" t="inlineStr">
        <is>
          <t>Base</t>
        </is>
      </c>
      <c r="D538" s="205" t="inlineStr">
        <is>
          <t>FCF</t>
        </is>
      </c>
      <c r="E538" s="146">
        <f>CF!AG32</f>
        <v>22399.0679287166</v>
      </c>
      <c r="F538" s="206" t="inlineStr">
        <is>
          <t>CF!AG32</t>
        </is>
      </c>
      <c r="G538" s="143" t="inlineStr"/>
    </row>
    <row r="539">
      <c r="A539" s="127" t="inlineStr">
        <is>
          <t>FY27 Q2</t>
        </is>
      </c>
      <c r="B539" s="127" t="inlineStr">
        <is>
          <t>FY2027 AOP</t>
        </is>
      </c>
      <c r="C539" s="139" t="inlineStr">
        <is>
          <t>Base</t>
        </is>
      </c>
      <c r="D539" s="205" t="inlineStr">
        <is>
          <t>Cash</t>
        </is>
      </c>
      <c r="E539" s="146">
        <f>BS!AG9</f>
        <v>26306.0228079247</v>
      </c>
      <c r="F539" s="206" t="inlineStr">
        <is>
          <t>BS!AG9</t>
        </is>
      </c>
      <c r="G539" s="143" t="inlineStr"/>
    </row>
    <row r="540">
      <c r="A540" s="127" t="inlineStr">
        <is>
          <t>FY27 Q2</t>
        </is>
      </c>
      <c r="B540" s="127" t="inlineStr">
        <is>
          <t>FY2027 AOP</t>
        </is>
      </c>
      <c r="C540" s="139" t="inlineStr">
        <is>
          <t>Base</t>
        </is>
      </c>
      <c r="D540" s="205" t="inlineStr">
        <is>
          <t>R&amp;D $</t>
        </is>
      </c>
      <c r="E540" s="146">
        <f>IS!AG47</f>
        <v>9046.23331707078</v>
      </c>
      <c r="F540" s="206" t="inlineStr">
        <is>
          <t>IS!AG47</t>
        </is>
      </c>
      <c r="G540" s="143" t="inlineStr"/>
    </row>
    <row r="541">
      <c r="A541" s="127" t="inlineStr">
        <is>
          <t>FY27 Q2</t>
        </is>
      </c>
      <c r="B541" s="127" t="inlineStr">
        <is>
          <t>FY2027 AOP</t>
        </is>
      </c>
      <c r="C541" s="139" t="inlineStr">
        <is>
          <t>Base</t>
        </is>
      </c>
      <c r="D541" s="205" t="inlineStr">
        <is>
          <t>SG&amp;A $</t>
        </is>
      </c>
      <c r="E541" s="146">
        <f>IS!AG48</f>
        <v>7193.39034851412</v>
      </c>
      <c r="F541" s="206" t="inlineStr">
        <is>
          <t>IS!AG48</t>
        </is>
      </c>
      <c r="G541" s="143" t="inlineStr"/>
    </row>
    <row r="542">
      <c r="A542" s="127" t="inlineStr">
        <is>
          <t>FY27 Q2</t>
        </is>
      </c>
      <c r="B542" s="127" t="inlineStr">
        <is>
          <t>FY2027 AOP</t>
        </is>
      </c>
      <c r="C542" s="139" t="inlineStr">
        <is>
          <t>Base</t>
        </is>
      </c>
      <c r="D542" s="205" t="inlineStr">
        <is>
          <t>Operating Margin %</t>
        </is>
      </c>
      <c r="E542" s="142">
        <f>IS!AG50</f>
        <v>0.333267936397464</v>
      </c>
      <c r="F542" s="206" t="inlineStr">
        <is>
          <t>IS!AG50</t>
        </is>
      </c>
      <c r="G542" s="143" t="inlineStr"/>
    </row>
    <row r="543">
      <c r="A543" s="127" t="inlineStr">
        <is>
          <t>FY27 Q2</t>
        </is>
      </c>
      <c r="B543" s="127" t="inlineStr">
        <is>
          <t>FY2027 AOP</t>
        </is>
      </c>
      <c r="C543" s="139" t="inlineStr">
        <is>
          <t>Base</t>
        </is>
      </c>
      <c r="D543" s="205" t="inlineStr">
        <is>
          <t>AR $</t>
        </is>
      </c>
      <c r="E543" s="146">
        <f>BS!AG11</f>
        <v>39963.2797139673</v>
      </c>
      <c r="F543" s="206" t="inlineStr">
        <is>
          <t>BS!AG11</t>
        </is>
      </c>
      <c r="G543" s="143" t="inlineStr"/>
    </row>
    <row r="544">
      <c r="A544" s="127" t="inlineStr">
        <is>
          <t>FY27 Q2</t>
        </is>
      </c>
      <c r="B544" s="127" t="inlineStr">
        <is>
          <t>FY2027 AOP</t>
        </is>
      </c>
      <c r="C544" s="139" t="inlineStr">
        <is>
          <t>Base</t>
        </is>
      </c>
      <c r="D544" s="205" t="inlineStr">
        <is>
          <t>Inventory $</t>
        </is>
      </c>
      <c r="E544" s="146">
        <f>BS!AG13</f>
        <v>6269.77917413263</v>
      </c>
      <c r="F544" s="206" t="inlineStr">
        <is>
          <t>BS!AG13</t>
        </is>
      </c>
      <c r="G544" s="143" t="inlineStr"/>
    </row>
    <row r="545">
      <c r="A545" s="127" t="inlineStr">
        <is>
          <t>FY27 Q2</t>
        </is>
      </c>
      <c r="B545" s="127" t="inlineStr">
        <is>
          <t>FY2027 AOP</t>
        </is>
      </c>
      <c r="C545" s="139" t="inlineStr">
        <is>
          <t>Base</t>
        </is>
      </c>
      <c r="D545" s="205" t="inlineStr">
        <is>
          <t>AP $</t>
        </is>
      </c>
      <c r="E545" s="146">
        <f>BS!AG22</f>
        <v>72102.4605025252</v>
      </c>
      <c r="F545" s="206" t="inlineStr">
        <is>
          <t>BS!AG22</t>
        </is>
      </c>
      <c r="G545" s="143" t="inlineStr"/>
    </row>
    <row r="546">
      <c r="A546" s="127" t="inlineStr">
        <is>
          <t>FY27 Q2</t>
        </is>
      </c>
      <c r="B546" s="127" t="inlineStr">
        <is>
          <t>FY2027 AOP</t>
        </is>
      </c>
      <c r="C546" s="139" t="inlineStr">
        <is>
          <t>Base</t>
        </is>
      </c>
      <c r="D546" s="205" t="inlineStr">
        <is>
          <t>CapEx $</t>
        </is>
      </c>
      <c r="E546" s="146">
        <f>CF!AG22</f>
        <v>-3269.72288568823</v>
      </c>
      <c r="F546" s="206" t="inlineStr">
        <is>
          <t>CF!AG22</t>
        </is>
      </c>
      <c r="G546" s="143" t="inlineStr"/>
    </row>
    <row r="547">
      <c r="A547" s="127" t="inlineStr">
        <is>
          <t>FY27 Q2</t>
        </is>
      </c>
      <c r="B547" s="127" t="inlineStr">
        <is>
          <t>FY2027 AOP</t>
        </is>
      </c>
      <c r="C547" s="139" t="inlineStr">
        <is>
          <t>Base</t>
        </is>
      </c>
      <c r="D547" s="205" t="inlineStr">
        <is>
          <t>Buyback $</t>
        </is>
      </c>
      <c r="E547" s="146">
        <f>CF!AG25</f>
        <v>-20159.1611358449</v>
      </c>
      <c r="F547" s="206" t="inlineStr">
        <is>
          <t>CF!AG25</t>
        </is>
      </c>
      <c r="G547" s="143" t="inlineStr"/>
    </row>
    <row r="548">
      <c r="A548" s="127" t="inlineStr">
        <is>
          <t>FY27 Q2</t>
        </is>
      </c>
      <c r="B548" s="127" t="inlineStr">
        <is>
          <t>FY2027 AOP</t>
        </is>
      </c>
      <c r="C548" s="139" t="inlineStr">
        <is>
          <t>Base</t>
        </is>
      </c>
      <c r="D548" s="205" t="inlineStr">
        <is>
          <t>Dividend $</t>
        </is>
      </c>
      <c r="E548" s="146">
        <f>CF!AG26</f>
        <v>-4576.71395456049</v>
      </c>
      <c r="F548" s="206" t="inlineStr">
        <is>
          <t>CF!AG26</t>
        </is>
      </c>
      <c r="G548" s="143" t="inlineStr"/>
    </row>
    <row r="549">
      <c r="A549" s="127" t="inlineStr">
        <is>
          <t>FY27 Q2</t>
        </is>
      </c>
      <c r="B549" s="127" t="inlineStr">
        <is>
          <t>FY2027 AOP</t>
        </is>
      </c>
      <c r="C549" s="139" t="inlineStr">
        <is>
          <t>Base</t>
        </is>
      </c>
      <c r="D549" s="205" t="inlineStr">
        <is>
          <t>Total Assets $</t>
        </is>
      </c>
      <c r="E549" s="146">
        <f>BS!AG20</f>
        <v>350852.104298733</v>
      </c>
      <c r="F549" s="206" t="inlineStr">
        <is>
          <t>BS!AG20</t>
        </is>
      </c>
      <c r="G549" s="143" t="inlineStr"/>
    </row>
    <row r="550">
      <c r="A550" s="127" t="inlineStr">
        <is>
          <t>FY27 Q2</t>
        </is>
      </c>
      <c r="B550" s="127" t="inlineStr">
        <is>
          <t>FY2027 AOP</t>
        </is>
      </c>
      <c r="C550" s="139" t="inlineStr">
        <is>
          <t>Base</t>
        </is>
      </c>
      <c r="D550" s="205" t="inlineStr">
        <is>
          <t>Total Liabilities $</t>
        </is>
      </c>
      <c r="E550" s="146">
        <f>BS!AG31</f>
        <v>287750.460502525</v>
      </c>
      <c r="F550" s="206" t="inlineStr">
        <is>
          <t>BS!AG31</t>
        </is>
      </c>
      <c r="G550" s="143" t="inlineStr"/>
    </row>
    <row r="551">
      <c r="A551" s="127" t="inlineStr">
        <is>
          <t>FY27 Q2</t>
        </is>
      </c>
      <c r="B551" s="127" t="inlineStr">
        <is>
          <t>FY2027 AOP</t>
        </is>
      </c>
      <c r="C551" s="139" t="inlineStr">
        <is>
          <t>Base</t>
        </is>
      </c>
      <c r="D551" s="205" t="inlineStr">
        <is>
          <t>Total Equity $</t>
        </is>
      </c>
      <c r="E551" s="146">
        <f>BS!AG36</f>
        <v>63101.643796208</v>
      </c>
      <c r="F551" s="206" t="inlineStr">
        <is>
          <t>BS!AG36</t>
        </is>
      </c>
      <c r="G551" s="143" t="inlineStr"/>
    </row>
    <row r="552">
      <c r="A552" s="127" t="inlineStr">
        <is>
          <t>FY27 Q2</t>
        </is>
      </c>
      <c r="B552" s="127" t="inlineStr">
        <is>
          <t>FY2027 AOP</t>
        </is>
      </c>
      <c r="C552" s="139" t="inlineStr">
        <is>
          <t>Base</t>
        </is>
      </c>
      <c r="D552" s="205" t="inlineStr">
        <is>
          <t>DSO</t>
        </is>
      </c>
      <c r="E552" s="190">
        <f>Drivers!G41</f>
        <v>33</v>
      </c>
      <c r="F552" s="206" t="inlineStr">
        <is>
          <t>Drivers!G41</t>
        </is>
      </c>
      <c r="G552" s="143" t="inlineStr">
        <is>
          <t>Drivers tab Active-column assumption (days), cascades with the live Drivers!B6 scenario switch -- constant across every quarter within this vintage (not period-specific), since DSO/DIO/DPO are not part of any vintage's Driver Adjustment Log.</t>
        </is>
      </c>
    </row>
    <row r="553">
      <c r="A553" s="127" t="inlineStr">
        <is>
          <t>FY27 Q2</t>
        </is>
      </c>
      <c r="B553" s="127" t="inlineStr">
        <is>
          <t>FY2027 AOP</t>
        </is>
      </c>
      <c r="C553" s="139" t="inlineStr">
        <is>
          <t>Base</t>
        </is>
      </c>
      <c r="D553" s="205" t="inlineStr">
        <is>
          <t>DIO</t>
        </is>
      </c>
      <c r="E553" s="190">
        <f>Drivers!G42</f>
        <v>10</v>
      </c>
      <c r="F553" s="206" t="inlineStr">
        <is>
          <t>Drivers!G42</t>
        </is>
      </c>
      <c r="G553" s="143" t="inlineStr">
        <is>
          <t>Drivers tab Active-column assumption (days), cascades with the live Drivers!B6 scenario switch -- constant across every quarter within this vintage (not period-specific), since DSO/DIO/DPO are not part of any vintage's Driver Adjustment Log.</t>
        </is>
      </c>
    </row>
    <row r="554">
      <c r="A554" s="127" t="inlineStr">
        <is>
          <t>FY27 Q2</t>
        </is>
      </c>
      <c r="B554" s="127" t="inlineStr">
        <is>
          <t>FY2027 AOP</t>
        </is>
      </c>
      <c r="C554" s="139" t="inlineStr">
        <is>
          <t>Base</t>
        </is>
      </c>
      <c r="D554" s="205" t="inlineStr">
        <is>
          <t>DPO</t>
        </is>
      </c>
      <c r="E554" s="190">
        <f>Drivers!G43</f>
        <v>115</v>
      </c>
      <c r="F554" s="206" t="inlineStr">
        <is>
          <t>Drivers!G43</t>
        </is>
      </c>
      <c r="G554" s="143" t="inlineStr">
        <is>
          <t>Drivers tab Active-column assumption (days), cascades with the live Drivers!B6 scenario switch -- constant across every quarter within this vintage (not period-specific), since DSO/DIO/DPO are not part of any vintage's Driver Adjustment Log.</t>
        </is>
      </c>
    </row>
    <row r="555">
      <c r="A555" s="127" t="inlineStr">
        <is>
          <t>FY27 Q3</t>
        </is>
      </c>
      <c r="B555" s="127" t="inlineStr">
        <is>
          <t>FY2027 AOP</t>
        </is>
      </c>
      <c r="C555" s="139" t="inlineStr">
        <is>
          <t>Base</t>
        </is>
      </c>
      <c r="D555" s="205" t="inlineStr">
        <is>
          <t>Revenue</t>
        </is>
      </c>
      <c r="E555" s="146">
        <f>IS!AH41</f>
        <v>105232.462141382</v>
      </c>
      <c r="F555" s="206" t="inlineStr">
        <is>
          <t>IS!AH41</t>
        </is>
      </c>
      <c r="G555" s="143" t="inlineStr"/>
    </row>
    <row r="556">
      <c r="A556" s="127" t="inlineStr">
        <is>
          <t>FY27 Q3</t>
        </is>
      </c>
      <c r="B556" s="127" t="inlineStr">
        <is>
          <t>FY2027 AOP</t>
        </is>
      </c>
      <c r="C556" s="139" t="inlineStr">
        <is>
          <t>Base</t>
        </is>
      </c>
      <c r="D556" s="205" t="inlineStr">
        <is>
          <t>iPhone Revenue</t>
        </is>
      </c>
      <c r="E556" s="146">
        <f>IS!AH35</f>
        <v>51024.3487278784</v>
      </c>
      <c r="F556" s="206" t="inlineStr">
        <is>
          <t>IS!AH35</t>
        </is>
      </c>
      <c r="G556" s="143" t="inlineStr"/>
    </row>
    <row r="557">
      <c r="A557" s="127" t="inlineStr">
        <is>
          <t>FY27 Q3</t>
        </is>
      </c>
      <c r="B557" s="127" t="inlineStr">
        <is>
          <t>FY2027 AOP</t>
        </is>
      </c>
      <c r="C557" s="139" t="inlineStr">
        <is>
          <t>Base</t>
        </is>
      </c>
      <c r="D557" s="205" t="inlineStr">
        <is>
          <t>Mac Revenue</t>
        </is>
      </c>
      <c r="E557" s="146">
        <f>IS!AH36</f>
        <v>8615.54549973712</v>
      </c>
      <c r="F557" s="206" t="inlineStr">
        <is>
          <t>IS!AH36</t>
        </is>
      </c>
      <c r="G557" s="143" t="inlineStr"/>
    </row>
    <row r="558">
      <c r="A558" s="127" t="inlineStr">
        <is>
          <t>FY27 Q3</t>
        </is>
      </c>
      <c r="B558" s="127" t="inlineStr">
        <is>
          <t>FY2027 AOP</t>
        </is>
      </c>
      <c r="C558" s="139" t="inlineStr">
        <is>
          <t>Base</t>
        </is>
      </c>
      <c r="D558" s="205" t="inlineStr">
        <is>
          <t>iPad Revenue</t>
        </is>
      </c>
      <c r="E558" s="146">
        <f>IS!AH37</f>
        <v>6722.12155286707</v>
      </c>
      <c r="F558" s="206" t="inlineStr">
        <is>
          <t>IS!AH37</t>
        </is>
      </c>
      <c r="G558" s="143" t="inlineStr"/>
    </row>
    <row r="559">
      <c r="A559" s="127" t="inlineStr">
        <is>
          <t>FY27 Q3</t>
        </is>
      </c>
      <c r="B559" s="127" t="inlineStr">
        <is>
          <t>FY2027 AOP</t>
        </is>
      </c>
      <c r="C559" s="139" t="inlineStr">
        <is>
          <t>Base</t>
        </is>
      </c>
      <c r="D559" s="205" t="inlineStr">
        <is>
          <t>Wearables Revenue</t>
        </is>
      </c>
      <c r="E559" s="146">
        <f>IS!AH38</f>
        <v>8184.13112288101</v>
      </c>
      <c r="F559" s="206" t="inlineStr">
        <is>
          <t>IS!AH38</t>
        </is>
      </c>
      <c r="G559" s="143" t="inlineStr"/>
    </row>
    <row r="560">
      <c r="A560" s="127" t="inlineStr">
        <is>
          <t>FY27 Q3</t>
        </is>
      </c>
      <c r="B560" s="127" t="inlineStr">
        <is>
          <t>FY2027 AOP</t>
        </is>
      </c>
      <c r="C560" s="139" t="inlineStr">
        <is>
          <t>Base</t>
        </is>
      </c>
      <c r="D560" s="205" t="inlineStr">
        <is>
          <t>Services Revenue</t>
        </is>
      </c>
      <c r="E560" s="146">
        <f>IS!AH40</f>
        <v>30686.3152380188</v>
      </c>
      <c r="F560" s="206" t="inlineStr">
        <is>
          <t>IS!AH40</t>
        </is>
      </c>
      <c r="G560" s="143" t="inlineStr"/>
    </row>
    <row r="561">
      <c r="A561" s="127" t="inlineStr">
        <is>
          <t>FY27 Q3</t>
        </is>
      </c>
      <c r="B561" s="127" t="inlineStr">
        <is>
          <t>FY2027 AOP</t>
        </is>
      </c>
      <c r="C561" s="139" t="inlineStr">
        <is>
          <t>Base</t>
        </is>
      </c>
      <c r="D561" s="205" t="inlineStr">
        <is>
          <t>Gross Margin $</t>
        </is>
      </c>
      <c r="E561" s="146">
        <f>IS!AH44</f>
        <v>50750.2423589487</v>
      </c>
      <c r="F561" s="206" t="inlineStr">
        <is>
          <t>IS!AH44</t>
        </is>
      </c>
      <c r="G561" s="143" t="inlineStr"/>
    </row>
    <row r="562">
      <c r="A562" s="127" t="inlineStr">
        <is>
          <t>FY27 Q3</t>
        </is>
      </c>
      <c r="B562" s="127" t="inlineStr">
        <is>
          <t>FY2027 AOP</t>
        </is>
      </c>
      <c r="C562" s="139" t="inlineStr">
        <is>
          <t>Base</t>
        </is>
      </c>
      <c r="D562" s="205" t="inlineStr">
        <is>
          <t>Gross Margin %</t>
        </is>
      </c>
      <c r="E562" s="142">
        <f>IS!AH45</f>
        <v>0.482267936397464</v>
      </c>
      <c r="F562" s="206" t="inlineStr">
        <is>
          <t>IS!AH45</t>
        </is>
      </c>
      <c r="G562" s="143" t="inlineStr"/>
    </row>
    <row r="563">
      <c r="A563" s="127" t="inlineStr">
        <is>
          <t>FY27 Q3</t>
        </is>
      </c>
      <c r="B563" s="127" t="inlineStr">
        <is>
          <t>FY2027 AOP</t>
        </is>
      </c>
      <c r="C563" s="139" t="inlineStr">
        <is>
          <t>Base</t>
        </is>
      </c>
      <c r="D563" s="205" t="inlineStr">
        <is>
          <t>Operating Income</t>
        </is>
      </c>
      <c r="E563" s="146">
        <f>IS!AH49</f>
        <v>35070.6054998827</v>
      </c>
      <c r="F563" s="206" t="inlineStr">
        <is>
          <t>IS!AH49</t>
        </is>
      </c>
      <c r="G563" s="143" t="inlineStr"/>
    </row>
    <row r="564">
      <c r="A564" s="127" t="inlineStr">
        <is>
          <t>FY27 Q3</t>
        </is>
      </c>
      <c r="B564" s="127" t="inlineStr">
        <is>
          <t>FY2027 AOP</t>
        </is>
      </c>
      <c r="C564" s="139" t="inlineStr">
        <is>
          <t>Base</t>
        </is>
      </c>
      <c r="D564" s="205" t="inlineStr">
        <is>
          <t>Net Income</t>
        </is>
      </c>
      <c r="E564" s="146">
        <f>IS!AH53</f>
        <v>29459.3086199015</v>
      </c>
      <c r="F564" s="206" t="inlineStr">
        <is>
          <t>IS!AH53</t>
        </is>
      </c>
      <c r="G564" s="143" t="inlineStr"/>
    </row>
    <row r="565">
      <c r="A565" s="127" t="inlineStr">
        <is>
          <t>FY27 Q3</t>
        </is>
      </c>
      <c r="B565" s="127" t="inlineStr">
        <is>
          <t>FY2027 AOP</t>
        </is>
      </c>
      <c r="C565" s="139" t="inlineStr">
        <is>
          <t>Base</t>
        </is>
      </c>
      <c r="D565" s="205" t="inlineStr">
        <is>
          <t>EPS</t>
        </is>
      </c>
      <c r="E565" s="148">
        <f>IS!AH57</f>
        <v>2.00193421887896</v>
      </c>
      <c r="F565" s="206" t="inlineStr">
        <is>
          <t>IS!AH57</t>
        </is>
      </c>
      <c r="G565" s="143" t="inlineStr"/>
    </row>
    <row r="566">
      <c r="A566" s="127" t="inlineStr">
        <is>
          <t>FY27 Q3</t>
        </is>
      </c>
      <c r="B566" s="127" t="inlineStr">
        <is>
          <t>FY2027 AOP</t>
        </is>
      </c>
      <c r="C566" s="139" t="inlineStr">
        <is>
          <t>Base</t>
        </is>
      </c>
      <c r="D566" s="205" t="inlineStr">
        <is>
          <t>FCF</t>
        </is>
      </c>
      <c r="E566" s="146">
        <f>CF!AH32</f>
        <v>28492.2608424494</v>
      </c>
      <c r="F566" s="206" t="inlineStr">
        <is>
          <t>CF!AH32</t>
        </is>
      </c>
      <c r="G566" s="143" t="inlineStr"/>
    </row>
    <row r="567">
      <c r="A567" s="127" t="inlineStr">
        <is>
          <t>FY27 Q3</t>
        </is>
      </c>
      <c r="B567" s="127" t="inlineStr">
        <is>
          <t>FY2027 AOP</t>
        </is>
      </c>
      <c r="C567" s="139" t="inlineStr">
        <is>
          <t>Base</t>
        </is>
      </c>
      <c r="D567" s="205" t="inlineStr">
        <is>
          <t>Cash</t>
        </is>
      </c>
      <c r="E567" s="146">
        <f>BS!AH9</f>
        <v>24736.3525991844</v>
      </c>
      <c r="F567" s="206" t="inlineStr">
        <is>
          <t>BS!AH9</t>
        </is>
      </c>
      <c r="G567" s="143" t="inlineStr"/>
    </row>
    <row r="568">
      <c r="A568" s="127" t="inlineStr">
        <is>
          <t>FY27 Q3</t>
        </is>
      </c>
      <c r="B568" s="127" t="inlineStr">
        <is>
          <t>FY2027 AOP</t>
        </is>
      </c>
      <c r="C568" s="139" t="inlineStr">
        <is>
          <t>Base</t>
        </is>
      </c>
      <c r="D568" s="205" t="inlineStr">
        <is>
          <t>R&amp;D $</t>
        </is>
      </c>
      <c r="E568" s="146">
        <f>IS!AH47</f>
        <v>8734.29435773473</v>
      </c>
      <c r="F568" s="206" t="inlineStr">
        <is>
          <t>IS!AH47</t>
        </is>
      </c>
      <c r="G568" s="143" t="inlineStr"/>
    </row>
    <row r="569">
      <c r="A569" s="127" t="inlineStr">
        <is>
          <t>FY27 Q3</t>
        </is>
      </c>
      <c r="B569" s="127" t="inlineStr">
        <is>
          <t>FY2027 AOP</t>
        </is>
      </c>
      <c r="C569" s="139" t="inlineStr">
        <is>
          <t>Base</t>
        </is>
      </c>
      <c r="D569" s="205" t="inlineStr">
        <is>
          <t>SG&amp;A $</t>
        </is>
      </c>
      <c r="E569" s="146">
        <f>IS!AH48</f>
        <v>6945.34250133123</v>
      </c>
      <c r="F569" s="206" t="inlineStr">
        <is>
          <t>IS!AH48</t>
        </is>
      </c>
      <c r="G569" s="143" t="inlineStr"/>
    </row>
    <row r="570">
      <c r="A570" s="127" t="inlineStr">
        <is>
          <t>FY27 Q3</t>
        </is>
      </c>
      <c r="B570" s="127" t="inlineStr">
        <is>
          <t>FY2027 AOP</t>
        </is>
      </c>
      <c r="C570" s="139" t="inlineStr">
        <is>
          <t>Base</t>
        </is>
      </c>
      <c r="D570" s="205" t="inlineStr">
        <is>
          <t>Operating Margin %</t>
        </is>
      </c>
      <c r="E570" s="142">
        <f>IS!AH50</f>
        <v>0.333267936397464</v>
      </c>
      <c r="F570" s="206" t="inlineStr">
        <is>
          <t>IS!AH50</t>
        </is>
      </c>
      <c r="G570" s="143" t="inlineStr"/>
    </row>
    <row r="571">
      <c r="A571" s="127" t="inlineStr">
        <is>
          <t>FY27 Q3</t>
        </is>
      </c>
      <c r="B571" s="127" t="inlineStr">
        <is>
          <t>FY2027 AOP</t>
        </is>
      </c>
      <c r="C571" s="139" t="inlineStr">
        <is>
          <t>Base</t>
        </is>
      </c>
      <c r="D571" s="205" t="inlineStr">
        <is>
          <t>AR $</t>
        </is>
      </c>
      <c r="E571" s="146">
        <f>BS!AH11</f>
        <v>38585.2361185069</v>
      </c>
      <c r="F571" s="206" t="inlineStr">
        <is>
          <t>BS!AH11</t>
        </is>
      </c>
      <c r="G571" s="143" t="inlineStr"/>
    </row>
    <row r="572">
      <c r="A572" s="127" t="inlineStr">
        <is>
          <t>FY27 Q3</t>
        </is>
      </c>
      <c r="B572" s="127" t="inlineStr">
        <is>
          <t>FY2027 AOP</t>
        </is>
      </c>
      <c r="C572" s="139" t="inlineStr">
        <is>
          <t>Base</t>
        </is>
      </c>
      <c r="D572" s="205" t="inlineStr">
        <is>
          <t>Inventory $</t>
        </is>
      </c>
      <c r="E572" s="146">
        <f>BS!AH13</f>
        <v>6053.57997582596</v>
      </c>
      <c r="F572" s="206" t="inlineStr">
        <is>
          <t>BS!AH13</t>
        </is>
      </c>
      <c r="G572" s="143" t="inlineStr"/>
    </row>
    <row r="573">
      <c r="A573" s="127" t="inlineStr">
        <is>
          <t>FY27 Q3</t>
        </is>
      </c>
      <c r="B573" s="127" t="inlineStr">
        <is>
          <t>FY2027 AOP</t>
        </is>
      </c>
      <c r="C573" s="139" t="inlineStr">
        <is>
          <t>Base</t>
        </is>
      </c>
      <c r="D573" s="205" t="inlineStr">
        <is>
          <t>AP $</t>
        </is>
      </c>
      <c r="E573" s="146">
        <f>BS!AH22</f>
        <v>69616.1697219986</v>
      </c>
      <c r="F573" s="206" t="inlineStr">
        <is>
          <t>BS!AH22</t>
        </is>
      </c>
      <c r="G573" s="143" t="inlineStr"/>
    </row>
    <row r="574">
      <c r="A574" s="127" t="inlineStr">
        <is>
          <t>FY27 Q3</t>
        </is>
      </c>
      <c r="B574" s="127" t="inlineStr">
        <is>
          <t>FY2027 AOP</t>
        </is>
      </c>
      <c r="C574" s="139" t="inlineStr">
        <is>
          <t>Base</t>
        </is>
      </c>
      <c r="D574" s="205" t="inlineStr">
        <is>
          <t>CapEx $</t>
        </is>
      </c>
      <c r="E574" s="146">
        <f>CF!AH22</f>
        <v>-3156.97386424147</v>
      </c>
      <c r="F574" s="206" t="inlineStr">
        <is>
          <t>CF!AH22</t>
        </is>
      </c>
      <c r="G574" s="143" t="inlineStr"/>
    </row>
    <row r="575">
      <c r="A575" s="127" t="inlineStr">
        <is>
          <t>FY27 Q3</t>
        </is>
      </c>
      <c r="B575" s="127" t="inlineStr">
        <is>
          <t>FY2027 AOP</t>
        </is>
      </c>
      <c r="C575" s="139" t="inlineStr">
        <is>
          <t>Base</t>
        </is>
      </c>
      <c r="D575" s="205" t="inlineStr">
        <is>
          <t>Buyback $</t>
        </is>
      </c>
      <c r="E575" s="146">
        <f>CF!AH25</f>
        <v>-25643.0347582044</v>
      </c>
      <c r="F575" s="206" t="inlineStr">
        <is>
          <t>CF!AH25</t>
        </is>
      </c>
      <c r="G575" s="143" t="inlineStr"/>
    </row>
    <row r="576">
      <c r="A576" s="127" t="inlineStr">
        <is>
          <t>FY27 Q3</t>
        </is>
      </c>
      <c r="B576" s="127" t="inlineStr">
        <is>
          <t>FY2027 AOP</t>
        </is>
      </c>
      <c r="C576" s="139" t="inlineStr">
        <is>
          <t>Base</t>
        </is>
      </c>
      <c r="D576" s="205" t="inlineStr">
        <is>
          <t>Dividend $</t>
        </is>
      </c>
      <c r="E576" s="146">
        <f>CF!AH26</f>
        <v>-4418.89629298522</v>
      </c>
      <c r="F576" s="206" t="inlineStr">
        <is>
          <t>CF!AH26</t>
        </is>
      </c>
      <c r="G576" s="143" t="inlineStr"/>
    </row>
    <row r="577">
      <c r="A577" s="127" t="inlineStr">
        <is>
          <t>FY27 Q3</t>
        </is>
      </c>
      <c r="B577" s="127" t="inlineStr">
        <is>
          <t>FY2027 AOP</t>
        </is>
      </c>
      <c r="C577" s="139" t="inlineStr">
        <is>
          <t>Base</t>
        </is>
      </c>
      <c r="D577" s="205" t="inlineStr">
        <is>
          <t>Total Assets $</t>
        </is>
      </c>
      <c r="E577" s="146">
        <f>BS!AH20</f>
        <v>347763.191086918</v>
      </c>
      <c r="F577" s="206" t="inlineStr">
        <is>
          <t>BS!AH20</t>
        </is>
      </c>
      <c r="G577" s="143" t="inlineStr"/>
    </row>
    <row r="578">
      <c r="A578" s="127" t="inlineStr">
        <is>
          <t>FY27 Q3</t>
        </is>
      </c>
      <c r="B578" s="127" t="inlineStr">
        <is>
          <t>FY2027 AOP</t>
        </is>
      </c>
      <c r="C578" s="139" t="inlineStr">
        <is>
          <t>Base</t>
        </is>
      </c>
      <c r="D578" s="205" t="inlineStr">
        <is>
          <t>Total Liabilities $</t>
        </is>
      </c>
      <c r="E578" s="146">
        <f>BS!AH31</f>
        <v>285264.169721999</v>
      </c>
      <c r="F578" s="206" t="inlineStr">
        <is>
          <t>BS!AH31</t>
        </is>
      </c>
      <c r="G578" s="143" t="inlineStr"/>
    </row>
    <row r="579">
      <c r="A579" s="127" t="inlineStr">
        <is>
          <t>FY27 Q3</t>
        </is>
      </c>
      <c r="B579" s="127" t="inlineStr">
        <is>
          <t>FY2027 AOP</t>
        </is>
      </c>
      <c r="C579" s="139" t="inlineStr">
        <is>
          <t>Base</t>
        </is>
      </c>
      <c r="D579" s="205" t="inlineStr">
        <is>
          <t>Total Equity $</t>
        </is>
      </c>
      <c r="E579" s="146">
        <f>BS!AH36</f>
        <v>62499.0213649198</v>
      </c>
      <c r="F579" s="206" t="inlineStr">
        <is>
          <t>BS!AH36</t>
        </is>
      </c>
      <c r="G579" s="143" t="inlineStr"/>
    </row>
    <row r="580">
      <c r="A580" s="127" t="inlineStr">
        <is>
          <t>FY27 Q3</t>
        </is>
      </c>
      <c r="B580" s="127" t="inlineStr">
        <is>
          <t>FY2027 AOP</t>
        </is>
      </c>
      <c r="C580" s="139" t="inlineStr">
        <is>
          <t>Base</t>
        </is>
      </c>
      <c r="D580" s="205" t="inlineStr">
        <is>
          <t>DSO</t>
        </is>
      </c>
      <c r="E580" s="190">
        <f>Drivers!G41</f>
        <v>33</v>
      </c>
      <c r="F580" s="206" t="inlineStr">
        <is>
          <t>Drivers!G41</t>
        </is>
      </c>
      <c r="G580" s="143" t="inlineStr">
        <is>
          <t>Drivers tab Active-column assumption (days), cascades with the live Drivers!B6 scenario switch -- constant across every quarter within this vintage (not period-specific), since DSO/DIO/DPO are not part of any vintage's Driver Adjustment Log.</t>
        </is>
      </c>
    </row>
    <row r="581">
      <c r="A581" s="127" t="inlineStr">
        <is>
          <t>FY27 Q3</t>
        </is>
      </c>
      <c r="B581" s="127" t="inlineStr">
        <is>
          <t>FY2027 AOP</t>
        </is>
      </c>
      <c r="C581" s="139" t="inlineStr">
        <is>
          <t>Base</t>
        </is>
      </c>
      <c r="D581" s="205" t="inlineStr">
        <is>
          <t>DIO</t>
        </is>
      </c>
      <c r="E581" s="190">
        <f>Drivers!G42</f>
        <v>10</v>
      </c>
      <c r="F581" s="206" t="inlineStr">
        <is>
          <t>Drivers!G42</t>
        </is>
      </c>
      <c r="G581" s="143" t="inlineStr">
        <is>
          <t>Drivers tab Active-column assumption (days), cascades with the live Drivers!B6 scenario switch -- constant across every quarter within this vintage (not period-specific), since DSO/DIO/DPO are not part of any vintage's Driver Adjustment Log.</t>
        </is>
      </c>
    </row>
    <row r="582">
      <c r="A582" s="127" t="inlineStr">
        <is>
          <t>FY27 Q3</t>
        </is>
      </c>
      <c r="B582" s="127" t="inlineStr">
        <is>
          <t>FY2027 AOP</t>
        </is>
      </c>
      <c r="C582" s="139" t="inlineStr">
        <is>
          <t>Base</t>
        </is>
      </c>
      <c r="D582" s="205" t="inlineStr">
        <is>
          <t>DPO</t>
        </is>
      </c>
      <c r="E582" s="190">
        <f>Drivers!G43</f>
        <v>115</v>
      </c>
      <c r="F582" s="206" t="inlineStr">
        <is>
          <t>Drivers!G43</t>
        </is>
      </c>
      <c r="G582" s="143" t="inlineStr">
        <is>
          <t>Drivers tab Active-column assumption (days), cascades with the live Drivers!B6 scenario switch -- constant across every quarter within this vintage (not period-specific), since DSO/DIO/DPO are not part of any vintage's Driver Adjustment Log.</t>
        </is>
      </c>
    </row>
    <row r="583">
      <c r="A583" s="127" t="inlineStr">
        <is>
          <t>FY27 Q4</t>
        </is>
      </c>
      <c r="B583" s="127" t="inlineStr">
        <is>
          <t>FY2027 AOP</t>
        </is>
      </c>
      <c r="C583" s="139" t="inlineStr">
        <is>
          <t>Base</t>
        </is>
      </c>
      <c r="D583" s="205" t="inlineStr">
        <is>
          <t>Revenue</t>
        </is>
      </c>
      <c r="E583" s="146">
        <f>IS!AI41</f>
        <v>115550.532855879</v>
      </c>
      <c r="F583" s="206" t="inlineStr">
        <is>
          <t>IS!AI41</t>
        </is>
      </c>
      <c r="G583" s="143" t="inlineStr"/>
    </row>
    <row r="584">
      <c r="A584" s="127" t="inlineStr">
        <is>
          <t>FY27 Q4</t>
        </is>
      </c>
      <c r="B584" s="127" t="inlineStr">
        <is>
          <t>FY2027 AOP</t>
        </is>
      </c>
      <c r="C584" s="139" t="inlineStr">
        <is>
          <t>Base</t>
        </is>
      </c>
      <c r="D584" s="205" t="inlineStr">
        <is>
          <t>iPhone Revenue</t>
        </is>
      </c>
      <c r="E584" s="146">
        <f>IS!AI35</f>
        <v>56027.299600852</v>
      </c>
      <c r="F584" s="206" t="inlineStr">
        <is>
          <t>IS!AI35</t>
        </is>
      </c>
      <c r="G584" s="143" t="inlineStr"/>
    </row>
    <row r="585">
      <c r="A585" s="127" t="inlineStr">
        <is>
          <t>FY27 Q4</t>
        </is>
      </c>
      <c r="B585" s="127" t="inlineStr">
        <is>
          <t>FY2027 AOP</t>
        </is>
      </c>
      <c r="C585" s="139" t="inlineStr">
        <is>
          <t>Base</t>
        </is>
      </c>
      <c r="D585" s="205" t="inlineStr">
        <is>
          <t>Mac Revenue</t>
        </is>
      </c>
      <c r="E585" s="146">
        <f>IS!AI36</f>
        <v>9460.30201214123</v>
      </c>
      <c r="F585" s="206" t="inlineStr">
        <is>
          <t>IS!AI36</t>
        </is>
      </c>
      <c r="G585" s="143" t="inlineStr"/>
    </row>
    <row r="586">
      <c r="A586" s="127" t="inlineStr">
        <is>
          <t>FY27 Q4</t>
        </is>
      </c>
      <c r="B586" s="127" t="inlineStr">
        <is>
          <t>FY2027 AOP</t>
        </is>
      </c>
      <c r="C586" s="139" t="inlineStr">
        <is>
          <t>Base</t>
        </is>
      </c>
      <c r="D586" s="205" t="inlineStr">
        <is>
          <t>iPad Revenue</t>
        </is>
      </c>
      <c r="E586" s="146">
        <f>IS!AI37</f>
        <v>7381.22734705384</v>
      </c>
      <c r="F586" s="206" t="inlineStr">
        <is>
          <t>IS!AI37</t>
        </is>
      </c>
      <c r="G586" s="143" t="inlineStr"/>
    </row>
    <row r="587">
      <c r="A587" s="127" t="inlineStr">
        <is>
          <t>FY27 Q4</t>
        </is>
      </c>
      <c r="B587" s="127" t="inlineStr">
        <is>
          <t>FY2027 AOP</t>
        </is>
      </c>
      <c r="C587" s="139" t="inlineStr">
        <is>
          <t>Base</t>
        </is>
      </c>
      <c r="D587" s="205" t="inlineStr">
        <is>
          <t>Wearables Revenue</t>
        </is>
      </c>
      <c r="E587" s="146">
        <f>IS!AI38</f>
        <v>8986.58734165832</v>
      </c>
      <c r="F587" s="206" t="inlineStr">
        <is>
          <t>IS!AI38</t>
        </is>
      </c>
      <c r="G587" s="143" t="inlineStr"/>
    </row>
    <row r="588">
      <c r="A588" s="127" t="inlineStr">
        <is>
          <t>FY27 Q4</t>
        </is>
      </c>
      <c r="B588" s="127" t="inlineStr">
        <is>
          <t>FY2027 AOP</t>
        </is>
      </c>
      <c r="C588" s="139" t="inlineStr">
        <is>
          <t>Base</t>
        </is>
      </c>
      <c r="D588" s="205" t="inlineStr">
        <is>
          <t>Services Revenue</t>
        </is>
      </c>
      <c r="E588" s="146">
        <f>IS!AI40</f>
        <v>33695.1165541737</v>
      </c>
      <c r="F588" s="206" t="inlineStr">
        <is>
          <t>IS!AI40</t>
        </is>
      </c>
      <c r="G588" s="143" t="inlineStr"/>
    </row>
    <row r="589">
      <c r="A589" s="127" t="inlineStr">
        <is>
          <t>FY27 Q4</t>
        </is>
      </c>
      <c r="B589" s="127" t="inlineStr">
        <is>
          <t>FY2027 AOP</t>
        </is>
      </c>
      <c r="C589" s="139" t="inlineStr">
        <is>
          <t>Base</t>
        </is>
      </c>
      <c r="D589" s="205" t="inlineStr">
        <is>
          <t>Gross Margin $</t>
        </is>
      </c>
      <c r="E589" s="146">
        <f>IS!AI44</f>
        <v>55726.3170300321</v>
      </c>
      <c r="F589" s="206" t="inlineStr">
        <is>
          <t>IS!AI44</t>
        </is>
      </c>
      <c r="G589" s="143" t="inlineStr"/>
    </row>
    <row r="590">
      <c r="A590" s="127" t="inlineStr">
        <is>
          <t>FY27 Q4</t>
        </is>
      </c>
      <c r="B590" s="127" t="inlineStr">
        <is>
          <t>FY2027 AOP</t>
        </is>
      </c>
      <c r="C590" s="139" t="inlineStr">
        <is>
          <t>Base</t>
        </is>
      </c>
      <c r="D590" s="205" t="inlineStr">
        <is>
          <t>Gross Margin %</t>
        </is>
      </c>
      <c r="E590" s="142">
        <f>IS!AI45</f>
        <v>0.482267936397464</v>
      </c>
      <c r="F590" s="206" t="inlineStr">
        <is>
          <t>IS!AI45</t>
        </is>
      </c>
      <c r="G590" s="143" t="inlineStr"/>
    </row>
    <row r="591">
      <c r="A591" s="127" t="inlineStr">
        <is>
          <t>FY27 Q4</t>
        </is>
      </c>
      <c r="B591" s="127" t="inlineStr">
        <is>
          <t>FY2027 AOP</t>
        </is>
      </c>
      <c r="C591" s="139" t="inlineStr">
        <is>
          <t>Base</t>
        </is>
      </c>
      <c r="D591" s="205" t="inlineStr">
        <is>
          <t>Operating Income</t>
        </is>
      </c>
      <c r="E591" s="146">
        <f>IS!AI49</f>
        <v>38509.2876345061</v>
      </c>
      <c r="F591" s="206" t="inlineStr">
        <is>
          <t>IS!AI49</t>
        </is>
      </c>
      <c r="G591" s="143" t="inlineStr"/>
    </row>
    <row r="592">
      <c r="A592" s="127" t="inlineStr">
        <is>
          <t>FY27 Q4</t>
        </is>
      </c>
      <c r="B592" s="127" t="inlineStr">
        <is>
          <t>FY2027 AOP</t>
        </is>
      </c>
      <c r="C592" s="139" t="inlineStr">
        <is>
          <t>Base</t>
        </is>
      </c>
      <c r="D592" s="205" t="inlineStr">
        <is>
          <t>Net Income</t>
        </is>
      </c>
      <c r="E592" s="146">
        <f>IS!AI53</f>
        <v>32347.8016129852</v>
      </c>
      <c r="F592" s="206" t="inlineStr">
        <is>
          <t>IS!AI53</t>
        </is>
      </c>
      <c r="G592" s="143" t="inlineStr"/>
    </row>
    <row r="593">
      <c r="A593" s="127" t="inlineStr">
        <is>
          <t>FY27 Q4</t>
        </is>
      </c>
      <c r="B593" s="127" t="inlineStr">
        <is>
          <t>FY2027 AOP</t>
        </is>
      </c>
      <c r="C593" s="139" t="inlineStr">
        <is>
          <t>Base</t>
        </is>
      </c>
      <c r="D593" s="205" t="inlineStr">
        <is>
          <t>EPS</t>
        </is>
      </c>
      <c r="E593" s="148">
        <f>IS!AI57</f>
        <v>2.19822439793428</v>
      </c>
      <c r="F593" s="206" t="inlineStr">
        <is>
          <t>IS!AI57</t>
        </is>
      </c>
      <c r="G593" s="143" t="inlineStr"/>
    </row>
    <row r="594">
      <c r="A594" s="127" t="inlineStr">
        <is>
          <t>FY27 Q4</t>
        </is>
      </c>
      <c r="B594" s="127" t="inlineStr">
        <is>
          <t>FY2027 AOP</t>
        </is>
      </c>
      <c r="C594" s="139" t="inlineStr">
        <is>
          <t>Base</t>
        </is>
      </c>
      <c r="D594" s="205" t="inlineStr">
        <is>
          <t>FCF</t>
        </is>
      </c>
      <c r="E594" s="146">
        <f>CF!AI32</f>
        <v>34714.4841950009</v>
      </c>
      <c r="F594" s="206" t="inlineStr">
        <is>
          <t>CF!AI32</t>
        </is>
      </c>
      <c r="G594" s="143" t="inlineStr"/>
    </row>
    <row r="595">
      <c r="A595" s="127" t="inlineStr">
        <is>
          <t>FY27 Q4</t>
        </is>
      </c>
      <c r="B595" s="127" t="inlineStr">
        <is>
          <t>FY2027 AOP</t>
        </is>
      </c>
      <c r="C595" s="139" t="inlineStr">
        <is>
          <t>Base</t>
        </is>
      </c>
      <c r="D595" s="205" t="inlineStr">
        <is>
          <t>Cash</t>
        </is>
      </c>
      <c r="E595" s="146">
        <f>BS!AI9</f>
        <v>23355.6307767367</v>
      </c>
      <c r="F595" s="206" t="inlineStr">
        <is>
          <t>BS!AI9</t>
        </is>
      </c>
      <c r="G595" s="143" t="inlineStr"/>
    </row>
    <row r="596">
      <c r="A596" s="127" t="inlineStr">
        <is>
          <t>FY27 Q4</t>
        </is>
      </c>
      <c r="B596" s="127" t="inlineStr">
        <is>
          <t>FY2027 AOP</t>
        </is>
      </c>
      <c r="C596" s="139" t="inlineStr">
        <is>
          <t>Base</t>
        </is>
      </c>
      <c r="D596" s="205" t="inlineStr">
        <is>
          <t>R&amp;D $</t>
        </is>
      </c>
      <c r="E596" s="146">
        <f>IS!AI47</f>
        <v>9590.69422703796</v>
      </c>
      <c r="F596" s="206" t="inlineStr">
        <is>
          <t>IS!AI47</t>
        </is>
      </c>
      <c r="G596" s="143" t="inlineStr"/>
    </row>
    <row r="597">
      <c r="A597" s="127" t="inlineStr">
        <is>
          <t>FY27 Q4</t>
        </is>
      </c>
      <c r="B597" s="127" t="inlineStr">
        <is>
          <t>FY2027 AOP</t>
        </is>
      </c>
      <c r="C597" s="139" t="inlineStr">
        <is>
          <t>Base</t>
        </is>
      </c>
      <c r="D597" s="205" t="inlineStr">
        <is>
          <t>SG&amp;A $</t>
        </is>
      </c>
      <c r="E597" s="146">
        <f>IS!AI48</f>
        <v>7626.33516848802</v>
      </c>
      <c r="F597" s="206" t="inlineStr">
        <is>
          <t>IS!AI48</t>
        </is>
      </c>
      <c r="G597" s="143" t="inlineStr"/>
    </row>
    <row r="598">
      <c r="A598" s="127" t="inlineStr">
        <is>
          <t>FY27 Q4</t>
        </is>
      </c>
      <c r="B598" s="127" t="inlineStr">
        <is>
          <t>FY2027 AOP</t>
        </is>
      </c>
      <c r="C598" s="139" t="inlineStr">
        <is>
          <t>Base</t>
        </is>
      </c>
      <c r="D598" s="205" t="inlineStr">
        <is>
          <t>Operating Margin %</t>
        </is>
      </c>
      <c r="E598" s="142">
        <f>IS!AI50</f>
        <v>0.333267936397464</v>
      </c>
      <c r="F598" s="206" t="inlineStr">
        <is>
          <t>IS!AI50</t>
        </is>
      </c>
      <c r="G598" s="143" t="inlineStr"/>
    </row>
    <row r="599">
      <c r="A599" s="127" t="inlineStr">
        <is>
          <t>FY27 Q4</t>
        </is>
      </c>
      <c r="B599" s="127" t="inlineStr">
        <is>
          <t>FY2027 AOP</t>
        </is>
      </c>
      <c r="C599" s="139" t="inlineStr">
        <is>
          <t>Base</t>
        </is>
      </c>
      <c r="D599" s="205" t="inlineStr">
        <is>
          <t>AR $</t>
        </is>
      </c>
      <c r="E599" s="146">
        <f>BS!AI11</f>
        <v>42368.5287138223</v>
      </c>
      <c r="F599" s="206" t="inlineStr">
        <is>
          <t>BS!AI11</t>
        </is>
      </c>
      <c r="G599" s="143" t="inlineStr"/>
    </row>
    <row r="600">
      <c r="A600" s="127" t="inlineStr">
        <is>
          <t>FY27 Q4</t>
        </is>
      </c>
      <c r="B600" s="127" t="inlineStr">
        <is>
          <t>FY2027 AOP</t>
        </is>
      </c>
      <c r="C600" s="139" t="inlineStr">
        <is>
          <t>Base</t>
        </is>
      </c>
      <c r="D600" s="205" t="inlineStr">
        <is>
          <t>Inventory $</t>
        </is>
      </c>
      <c r="E600" s="146">
        <f>BS!AI13</f>
        <v>6647.13509176077</v>
      </c>
      <c r="F600" s="206" t="inlineStr">
        <is>
          <t>BS!AI13</t>
        </is>
      </c>
      <c r="G600" s="143" t="inlineStr"/>
    </row>
    <row r="601">
      <c r="A601" s="127" t="inlineStr">
        <is>
          <t>FY27 Q4</t>
        </is>
      </c>
      <c r="B601" s="127" t="inlineStr">
        <is>
          <t>FY2027 AOP</t>
        </is>
      </c>
      <c r="C601" s="139" t="inlineStr">
        <is>
          <t>Base</t>
        </is>
      </c>
      <c r="D601" s="205" t="inlineStr">
        <is>
          <t>AP $</t>
        </is>
      </c>
      <c r="E601" s="146">
        <f>BS!AI22</f>
        <v>76442.0535552489</v>
      </c>
      <c r="F601" s="206" t="inlineStr">
        <is>
          <t>BS!AI22</t>
        </is>
      </c>
      <c r="G601" s="143" t="inlineStr"/>
    </row>
    <row r="602">
      <c r="A602" s="127" t="inlineStr">
        <is>
          <t>FY27 Q4</t>
        </is>
      </c>
      <c r="B602" s="127" t="inlineStr">
        <is>
          <t>FY2027 AOP</t>
        </is>
      </c>
      <c r="C602" s="139" t="inlineStr">
        <is>
          <t>Base</t>
        </is>
      </c>
      <c r="D602" s="205" t="inlineStr">
        <is>
          <t>CapEx $</t>
        </is>
      </c>
      <c r="E602" s="146">
        <f>CF!AI22</f>
        <v>-3466.51598567637</v>
      </c>
      <c r="F602" s="206" t="inlineStr">
        <is>
          <t>CF!AI22</t>
        </is>
      </c>
      <c r="G602" s="143" t="inlineStr"/>
    </row>
    <row r="603">
      <c r="A603" s="127" t="inlineStr">
        <is>
          <t>FY27 Q4</t>
        </is>
      </c>
      <c r="B603" s="127" t="inlineStr">
        <is>
          <t>FY2027 AOP</t>
        </is>
      </c>
      <c r="C603" s="139" t="inlineStr">
        <is>
          <t>Base</t>
        </is>
      </c>
      <c r="D603" s="205" t="inlineStr">
        <is>
          <t>Buyback $</t>
        </is>
      </c>
      <c r="E603" s="146">
        <f>CF!AI25</f>
        <v>-31243.0357755008</v>
      </c>
      <c r="F603" s="206" t="inlineStr">
        <is>
          <t>CF!AI25</t>
        </is>
      </c>
      <c r="G603" s="143" t="inlineStr"/>
    </row>
    <row r="604">
      <c r="A604" s="127" t="inlineStr">
        <is>
          <t>FY27 Q4</t>
        </is>
      </c>
      <c r="B604" s="127" t="inlineStr">
        <is>
          <t>FY2027 AOP</t>
        </is>
      </c>
      <c r="C604" s="139" t="inlineStr">
        <is>
          <t>Base</t>
        </is>
      </c>
      <c r="D604" s="205" t="inlineStr">
        <is>
          <t>Dividend $</t>
        </is>
      </c>
      <c r="E604" s="146">
        <f>CF!AI26</f>
        <v>-4852.17024194777</v>
      </c>
      <c r="F604" s="206" t="inlineStr">
        <is>
          <t>CF!AI26</t>
        </is>
      </c>
      <c r="G604" s="143" t="inlineStr"/>
    </row>
    <row r="605">
      <c r="A605" s="127" t="inlineStr">
        <is>
          <t>FY27 Q4</t>
        </is>
      </c>
      <c r="B605" s="127" t="inlineStr">
        <is>
          <t>FY2027 AOP</t>
        </is>
      </c>
      <c r="C605" s="139" t="inlineStr">
        <is>
          <t>Base</t>
        </is>
      </c>
      <c r="D605" s="205" t="inlineStr">
        <is>
          <t>Total Assets $</t>
        </is>
      </c>
      <c r="E605" s="146">
        <f>BS!AI20</f>
        <v>350841.670515705</v>
      </c>
      <c r="F605" s="206" t="inlineStr">
        <is>
          <t>BS!AI20</t>
        </is>
      </c>
      <c r="G605" s="143" t="inlineStr"/>
    </row>
    <row r="606">
      <c r="A606" s="127" t="inlineStr">
        <is>
          <t>FY27 Q4</t>
        </is>
      </c>
      <c r="B606" s="127" t="inlineStr">
        <is>
          <t>FY2027 AOP</t>
        </is>
      </c>
      <c r="C606" s="139" t="inlineStr">
        <is>
          <t>Base</t>
        </is>
      </c>
      <c r="D606" s="205" t="inlineStr">
        <is>
          <t>Total Liabilities $</t>
        </is>
      </c>
      <c r="E606" s="146">
        <f>BS!AI31</f>
        <v>292090.053555249</v>
      </c>
      <c r="F606" s="206" t="inlineStr">
        <is>
          <t>BS!AI31</t>
        </is>
      </c>
      <c r="G606" s="143" t="inlineStr"/>
    </row>
    <row r="607">
      <c r="A607" s="127" t="inlineStr">
        <is>
          <t>FY27 Q4</t>
        </is>
      </c>
      <c r="B607" s="127" t="inlineStr">
        <is>
          <t>FY2027 AOP</t>
        </is>
      </c>
      <c r="C607" s="139" t="inlineStr">
        <is>
          <t>Base</t>
        </is>
      </c>
      <c r="D607" s="205" t="inlineStr">
        <is>
          <t>Total Equity $</t>
        </is>
      </c>
      <c r="E607" s="146">
        <f>BS!AI36</f>
        <v>58751.6169604564</v>
      </c>
      <c r="F607" s="206" t="inlineStr">
        <is>
          <t>BS!AI36</t>
        </is>
      </c>
      <c r="G607" s="143" t="inlineStr"/>
    </row>
    <row r="608">
      <c r="A608" s="127" t="inlineStr">
        <is>
          <t>FY27 Q4</t>
        </is>
      </c>
      <c r="B608" s="127" t="inlineStr">
        <is>
          <t>FY2027 AOP</t>
        </is>
      </c>
      <c r="C608" s="139" t="inlineStr">
        <is>
          <t>Base</t>
        </is>
      </c>
      <c r="D608" s="205" t="inlineStr">
        <is>
          <t>DSO</t>
        </is>
      </c>
      <c r="E608" s="190">
        <f>Drivers!G41</f>
        <v>33</v>
      </c>
      <c r="F608" s="206" t="inlineStr">
        <is>
          <t>Drivers!G41</t>
        </is>
      </c>
      <c r="G608" s="143" t="inlineStr">
        <is>
          <t>Drivers tab Active-column assumption (days), cascades with the live Drivers!B6 scenario switch -- constant across every quarter within this vintage (not period-specific), since DSO/DIO/DPO are not part of any vintage's Driver Adjustment Log.</t>
        </is>
      </c>
    </row>
    <row r="609">
      <c r="A609" s="127" t="inlineStr">
        <is>
          <t>FY27 Q4</t>
        </is>
      </c>
      <c r="B609" s="127" t="inlineStr">
        <is>
          <t>FY2027 AOP</t>
        </is>
      </c>
      <c r="C609" s="139" t="inlineStr">
        <is>
          <t>Base</t>
        </is>
      </c>
      <c r="D609" s="205" t="inlineStr">
        <is>
          <t>DIO</t>
        </is>
      </c>
      <c r="E609" s="190">
        <f>Drivers!G42</f>
        <v>10</v>
      </c>
      <c r="F609" s="206" t="inlineStr">
        <is>
          <t>Drivers!G42</t>
        </is>
      </c>
      <c r="G609" s="143" t="inlineStr">
        <is>
          <t>Drivers tab Active-column assumption (days), cascades with the live Drivers!B6 scenario switch -- constant across every quarter within this vintage (not period-specific), since DSO/DIO/DPO are not part of any vintage's Driver Adjustment Log.</t>
        </is>
      </c>
    </row>
    <row r="610">
      <c r="A610" s="127" t="inlineStr">
        <is>
          <t>FY27 Q4</t>
        </is>
      </c>
      <c r="B610" s="127" t="inlineStr">
        <is>
          <t>FY2027 AOP</t>
        </is>
      </c>
      <c r="C610" s="139" t="inlineStr">
        <is>
          <t>Base</t>
        </is>
      </c>
      <c r="D610" s="205" t="inlineStr">
        <is>
          <t>DPO</t>
        </is>
      </c>
      <c r="E610" s="190">
        <f>Drivers!G43</f>
        <v>115</v>
      </c>
      <c r="F610" s="206" t="inlineStr">
        <is>
          <t>Drivers!G43</t>
        </is>
      </c>
      <c r="G610" s="143" t="inlineStr">
        <is>
          <t>Drivers tab Active-column assumption (days), cascades with the live Drivers!B6 scenario switch -- constant across every quarter within this vintage (not period-specific), since DSO/DIO/DPO are not part of any vintage's Driver Adjustment Log.</t>
        </is>
      </c>
    </row>
    <row r="611">
      <c r="A611" s="127" t="inlineStr">
        <is>
          <t>FY27 Total</t>
        </is>
      </c>
      <c r="B611" s="127" t="inlineStr">
        <is>
          <t>FY2027 AOP</t>
        </is>
      </c>
      <c r="C611" s="139" t="inlineStr">
        <is>
          <t>Base</t>
        </is>
      </c>
      <c r="D611" s="205" t="inlineStr">
        <is>
          <t>Revenue</t>
        </is>
      </c>
      <c r="E611" s="146">
        <f>IS!AJ41</f>
        <v>472615.551531282</v>
      </c>
      <c r="F611" s="206" t="inlineStr">
        <is>
          <t>IS!AJ41</t>
        </is>
      </c>
      <c r="G611" s="143" t="inlineStr"/>
    </row>
    <row r="612">
      <c r="A612" s="127" t="inlineStr">
        <is>
          <t>FY27 Total</t>
        </is>
      </c>
      <c r="B612" s="127" t="inlineStr">
        <is>
          <t>FY2027 AOP</t>
        </is>
      </c>
      <c r="C612" s="139" t="inlineStr">
        <is>
          <t>Base</t>
        </is>
      </c>
      <c r="D612" s="205" t="inlineStr">
        <is>
          <t>iPhone Revenue</t>
        </is>
      </c>
      <c r="E612" s="146">
        <f>IS!AJ35</f>
        <v>229158.381594757</v>
      </c>
      <c r="F612" s="206" t="inlineStr">
        <is>
          <t>IS!AJ35</t>
        </is>
      </c>
      <c r="G612" s="143" t="inlineStr"/>
    </row>
    <row r="613">
      <c r="A613" s="127" t="inlineStr">
        <is>
          <t>FY27 Total</t>
        </is>
      </c>
      <c r="B613" s="127" t="inlineStr">
        <is>
          <t>FY2027 AOP</t>
        </is>
      </c>
      <c r="C613" s="139" t="inlineStr">
        <is>
          <t>Base</t>
        </is>
      </c>
      <c r="D613" s="205" t="inlineStr">
        <is>
          <t>Mac Revenue</t>
        </is>
      </c>
      <c r="E613" s="146">
        <f>IS!AJ36</f>
        <v>38693.7709642344</v>
      </c>
      <c r="F613" s="206" t="inlineStr">
        <is>
          <t>IS!AJ36</t>
        </is>
      </c>
      <c r="G613" s="143" t="inlineStr"/>
    </row>
    <row r="614">
      <c r="A614" s="127" t="inlineStr">
        <is>
          <t>FY27 Total</t>
        </is>
      </c>
      <c r="B614" s="127" t="inlineStr">
        <is>
          <t>FY2027 AOP</t>
        </is>
      </c>
      <c r="C614" s="139" t="inlineStr">
        <is>
          <t>Base</t>
        </is>
      </c>
      <c r="D614" s="205" t="inlineStr">
        <is>
          <t>iPad Revenue</t>
        </is>
      </c>
      <c r="E614" s="146">
        <f>IS!AJ37</f>
        <v>30190.1059855488</v>
      </c>
      <c r="F614" s="206" t="inlineStr">
        <is>
          <t>IS!AJ37</t>
        </is>
      </c>
      <c r="G614" s="143" t="inlineStr"/>
    </row>
    <row r="615">
      <c r="A615" s="127" t="inlineStr">
        <is>
          <t>FY27 Total</t>
        </is>
      </c>
      <c r="B615" s="127" t="inlineStr">
        <is>
          <t>FY2027 AOP</t>
        </is>
      </c>
      <c r="C615" s="139" t="inlineStr">
        <is>
          <t>Base</t>
        </is>
      </c>
      <c r="D615" s="205" t="inlineStr">
        <is>
          <t>Wearables Revenue</t>
        </is>
      </c>
      <c r="E615" s="146">
        <f>IS!AJ38</f>
        <v>36756.2210912452</v>
      </c>
      <c r="F615" s="206" t="inlineStr">
        <is>
          <t>IS!AJ38</t>
        </is>
      </c>
      <c r="G615" s="143" t="inlineStr"/>
    </row>
    <row r="616">
      <c r="A616" s="127" t="inlineStr">
        <is>
          <t>FY27 Total</t>
        </is>
      </c>
      <c r="B616" s="127" t="inlineStr">
        <is>
          <t>FY2027 AOP</t>
        </is>
      </c>
      <c r="C616" s="139" t="inlineStr">
        <is>
          <t>Base</t>
        </is>
      </c>
      <c r="D616" s="205" t="inlineStr">
        <is>
          <t>Services Revenue</t>
        </is>
      </c>
      <c r="E616" s="146">
        <f>IS!AJ40</f>
        <v>137817.071895497</v>
      </c>
      <c r="F616" s="206" t="inlineStr">
        <is>
          <t>IS!AJ40</t>
        </is>
      </c>
      <c r="G616" s="143" t="inlineStr"/>
    </row>
    <row r="617">
      <c r="A617" s="127" t="inlineStr">
        <is>
          <t>FY27 Total</t>
        </is>
      </c>
      <c r="B617" s="127" t="inlineStr">
        <is>
          <t>FY2027 AOP</t>
        </is>
      </c>
      <c r="C617" s="139" t="inlineStr">
        <is>
          <t>Base</t>
        </is>
      </c>
      <c r="D617" s="205" t="inlineStr">
        <is>
          <t>Gross Margin $</t>
        </is>
      </c>
      <c r="E617" s="146">
        <f>IS!AJ44</f>
        <v>227927.326746341</v>
      </c>
      <c r="F617" s="206" t="inlineStr">
        <is>
          <t>IS!AJ44</t>
        </is>
      </c>
      <c r="G617" s="143" t="inlineStr"/>
    </row>
    <row r="618">
      <c r="A618" s="127" t="inlineStr">
        <is>
          <t>FY27 Total</t>
        </is>
      </c>
      <c r="B618" s="127" t="inlineStr">
        <is>
          <t>FY2027 AOP</t>
        </is>
      </c>
      <c r="C618" s="139" t="inlineStr">
        <is>
          <t>Base</t>
        </is>
      </c>
      <c r="D618" s="205" t="inlineStr">
        <is>
          <t>Gross Margin %</t>
        </is>
      </c>
      <c r="E618" s="142">
        <f>IS!AJ45</f>
        <v>0.482267936397464</v>
      </c>
      <c r="F618" s="206" t="inlineStr">
        <is>
          <t>IS!AJ45</t>
        </is>
      </c>
      <c r="G618" s="143" t="inlineStr"/>
    </row>
    <row r="619">
      <c r="A619" s="127" t="inlineStr">
        <is>
          <t>FY27 Total</t>
        </is>
      </c>
      <c r="B619" s="127" t="inlineStr">
        <is>
          <t>FY2027 AOP</t>
        </is>
      </c>
      <c r="C619" s="139" t="inlineStr">
        <is>
          <t>Base</t>
        </is>
      </c>
      <c r="D619" s="205" t="inlineStr">
        <is>
          <t>Operating Income</t>
        </is>
      </c>
      <c r="E619" s="146">
        <f>IS!AJ49</f>
        <v>157507.60956818</v>
      </c>
      <c r="F619" s="206" t="inlineStr">
        <is>
          <t>IS!AJ49</t>
        </is>
      </c>
      <c r="G619" s="143" t="inlineStr"/>
    </row>
    <row r="620">
      <c r="A620" s="127" t="inlineStr">
        <is>
          <t>FY27 Total</t>
        </is>
      </c>
      <c r="B620" s="127" t="inlineStr">
        <is>
          <t>FY2027 AOP</t>
        </is>
      </c>
      <c r="C620" s="139" t="inlineStr">
        <is>
          <t>Base</t>
        </is>
      </c>
      <c r="D620" s="205" t="inlineStr">
        <is>
          <t>Net Income</t>
        </is>
      </c>
      <c r="E620" s="146">
        <f>IS!AJ53</f>
        <v>132306.392037271</v>
      </c>
      <c r="F620" s="206" t="inlineStr">
        <is>
          <t>IS!AJ53</t>
        </is>
      </c>
      <c r="G620" s="143" t="inlineStr"/>
    </row>
    <row r="621">
      <c r="A621" s="127" t="inlineStr">
        <is>
          <t>FY27 Total</t>
        </is>
      </c>
      <c r="B621" s="127" t="inlineStr">
        <is>
          <t>FY2027 AOP</t>
        </is>
      </c>
      <c r="C621" s="139" t="inlineStr">
        <is>
          <t>Base</t>
        </is>
      </c>
      <c r="D621" s="205" t="inlineStr">
        <is>
          <t>EPS</t>
        </is>
      </c>
      <c r="E621" s="148">
        <f>IS!AJ57</f>
        <v>8.99100169027366</v>
      </c>
      <c r="F621" s="206" t="inlineStr">
        <is>
          <t>IS!AJ57</t>
        </is>
      </c>
      <c r="G621" s="143" t="inlineStr"/>
    </row>
    <row r="622">
      <c r="A622" s="127" t="inlineStr">
        <is>
          <t>FY27 Total</t>
        </is>
      </c>
      <c r="B622" s="127" t="inlineStr">
        <is>
          <t>FY2027 AOP</t>
        </is>
      </c>
      <c r="C622" s="139" t="inlineStr">
        <is>
          <t>Base</t>
        </is>
      </c>
      <c r="D622" s="205" t="inlineStr">
        <is>
          <t>FCF</t>
        </is>
      </c>
      <c r="E622" s="146">
        <f>CF!AJ32</f>
        <v>134170.413994901</v>
      </c>
      <c r="F622" s="206" t="inlineStr">
        <is>
          <t>CF!AJ32</t>
        </is>
      </c>
      <c r="G622" s="143" t="inlineStr"/>
    </row>
    <row r="623">
      <c r="A623" s="127" t="inlineStr">
        <is>
          <t>FY27 Total</t>
        </is>
      </c>
      <c r="B623" s="127" t="inlineStr">
        <is>
          <t>FY2027 AOP</t>
        </is>
      </c>
      <c r="C623" s="139" t="inlineStr">
        <is>
          <t>Base</t>
        </is>
      </c>
      <c r="D623" s="205" t="inlineStr">
        <is>
          <t>Cash</t>
        </is>
      </c>
      <c r="E623" s="146">
        <f>BS!AJ9</f>
        <v>23355.6307767367</v>
      </c>
      <c r="F623" s="206" t="inlineStr">
        <is>
          <t>BS!AJ9</t>
        </is>
      </c>
      <c r="G623" s="143" t="inlineStr"/>
    </row>
    <row r="624">
      <c r="A624" s="127" t="inlineStr">
        <is>
          <t>FY27 Total</t>
        </is>
      </c>
      <c r="B624" s="127" t="inlineStr">
        <is>
          <t>FY2027 AOP</t>
        </is>
      </c>
      <c r="C624" s="139" t="inlineStr">
        <is>
          <t>Base</t>
        </is>
      </c>
      <c r="D624" s="205" t="inlineStr">
        <is>
          <t>R&amp;D $</t>
        </is>
      </c>
      <c r="E624" s="146">
        <f>IS!AJ47</f>
        <v>39227.0907770964</v>
      </c>
      <c r="F624" s="206" t="inlineStr">
        <is>
          <t>IS!AJ47</t>
        </is>
      </c>
      <c r="G624" s="143" t="inlineStr"/>
    </row>
    <row r="625">
      <c r="A625" s="127" t="inlineStr">
        <is>
          <t>FY27 Total</t>
        </is>
      </c>
      <c r="B625" s="127" t="inlineStr">
        <is>
          <t>FY2027 AOP</t>
        </is>
      </c>
      <c r="C625" s="139" t="inlineStr">
        <is>
          <t>Base</t>
        </is>
      </c>
      <c r="D625" s="205" t="inlineStr">
        <is>
          <t>SG&amp;A $</t>
        </is>
      </c>
      <c r="E625" s="146">
        <f>IS!AJ48</f>
        <v>31192.6264010646</v>
      </c>
      <c r="F625" s="206" t="inlineStr">
        <is>
          <t>IS!AJ48</t>
        </is>
      </c>
      <c r="G625" s="143" t="inlineStr"/>
    </row>
    <row r="626">
      <c r="A626" s="127" t="inlineStr">
        <is>
          <t>FY27 Total</t>
        </is>
      </c>
      <c r="B626" s="127" t="inlineStr">
        <is>
          <t>FY2027 AOP</t>
        </is>
      </c>
      <c r="C626" s="139" t="inlineStr">
        <is>
          <t>Base</t>
        </is>
      </c>
      <c r="D626" s="205" t="inlineStr">
        <is>
          <t>Operating Margin %</t>
        </is>
      </c>
      <c r="E626" s="142">
        <f>IS!AJ50</f>
        <v>0.333267936397464</v>
      </c>
      <c r="F626" s="206" t="inlineStr">
        <is>
          <t>IS!AJ50</t>
        </is>
      </c>
      <c r="G626" s="143" t="inlineStr"/>
    </row>
    <row r="627">
      <c r="A627" s="127" t="inlineStr">
        <is>
          <t>FY27 Total</t>
        </is>
      </c>
      <c r="B627" s="127" t="inlineStr">
        <is>
          <t>FY2027 AOP</t>
        </is>
      </c>
      <c r="C627" s="139" t="inlineStr">
        <is>
          <t>Base</t>
        </is>
      </c>
      <c r="D627" s="205" t="inlineStr">
        <is>
          <t>AR $</t>
        </is>
      </c>
      <c r="E627" s="146">
        <f>BS!AJ11</f>
        <v>42368.5287138223</v>
      </c>
      <c r="F627" s="206" t="inlineStr">
        <is>
          <t>BS!AJ11</t>
        </is>
      </c>
      <c r="G627" s="143" t="inlineStr"/>
    </row>
    <row r="628">
      <c r="A628" s="127" t="inlineStr">
        <is>
          <t>FY27 Total</t>
        </is>
      </c>
      <c r="B628" s="127" t="inlineStr">
        <is>
          <t>FY2027 AOP</t>
        </is>
      </c>
      <c r="C628" s="139" t="inlineStr">
        <is>
          <t>Base</t>
        </is>
      </c>
      <c r="D628" s="205" t="inlineStr">
        <is>
          <t>Inventory $</t>
        </is>
      </c>
      <c r="E628" s="146">
        <f>BS!AJ13</f>
        <v>6647.13509176077</v>
      </c>
      <c r="F628" s="206" t="inlineStr">
        <is>
          <t>BS!AJ13</t>
        </is>
      </c>
      <c r="G628" s="143" t="inlineStr"/>
    </row>
    <row r="629">
      <c r="A629" s="127" t="inlineStr">
        <is>
          <t>FY27 Total</t>
        </is>
      </c>
      <c r="B629" s="127" t="inlineStr">
        <is>
          <t>FY2027 AOP</t>
        </is>
      </c>
      <c r="C629" s="139" t="inlineStr">
        <is>
          <t>Base</t>
        </is>
      </c>
      <c r="D629" s="205" t="inlineStr">
        <is>
          <t>AP $</t>
        </is>
      </c>
      <c r="E629" s="146">
        <f>BS!AJ22</f>
        <v>76442.0535552489</v>
      </c>
      <c r="F629" s="206" t="inlineStr">
        <is>
          <t>BS!AJ22</t>
        </is>
      </c>
      <c r="G629" s="143" t="inlineStr"/>
    </row>
    <row r="630">
      <c r="A630" s="127" t="inlineStr">
        <is>
          <t>FY27 Total</t>
        </is>
      </c>
      <c r="B630" s="127" t="inlineStr">
        <is>
          <t>FY2027 AOP</t>
        </is>
      </c>
      <c r="C630" s="139" t="inlineStr">
        <is>
          <t>Base</t>
        </is>
      </c>
      <c r="D630" s="205" t="inlineStr">
        <is>
          <t>CapEx $</t>
        </is>
      </c>
      <c r="E630" s="146">
        <f>CF!AJ22</f>
        <v>-14178.4665459385</v>
      </c>
      <c r="F630" s="206" t="inlineStr">
        <is>
          <t>CF!AJ22</t>
        </is>
      </c>
      <c r="G630" s="143" t="inlineStr"/>
    </row>
    <row r="631">
      <c r="A631" s="127" t="inlineStr">
        <is>
          <t>FY27 Total</t>
        </is>
      </c>
      <c r="B631" s="127" t="inlineStr">
        <is>
          <t>FY2027 AOP</t>
        </is>
      </c>
      <c r="C631" s="139" t="inlineStr">
        <is>
          <t>Base</t>
        </is>
      </c>
      <c r="D631" s="205" t="inlineStr">
        <is>
          <t>Buyback $</t>
        </is>
      </c>
      <c r="E631" s="146">
        <f>CF!AJ25</f>
        <v>-120753.372595411</v>
      </c>
      <c r="F631" s="206" t="inlineStr">
        <is>
          <t>CF!AJ25</t>
        </is>
      </c>
      <c r="G631" s="143" t="inlineStr"/>
    </row>
    <row r="632">
      <c r="A632" s="127" t="inlineStr">
        <is>
          <t>FY27 Total</t>
        </is>
      </c>
      <c r="B632" s="127" t="inlineStr">
        <is>
          <t>FY2027 AOP</t>
        </is>
      </c>
      <c r="C632" s="139" t="inlineStr">
        <is>
          <t>Base</t>
        </is>
      </c>
      <c r="D632" s="205" t="inlineStr">
        <is>
          <t>Dividend $</t>
        </is>
      </c>
      <c r="E632" s="146">
        <f>CF!AJ26</f>
        <v>-19845.9588055906</v>
      </c>
      <c r="F632" s="206" t="inlineStr">
        <is>
          <t>CF!AJ26</t>
        </is>
      </c>
      <c r="G632" s="143" t="inlineStr"/>
    </row>
    <row r="633">
      <c r="A633" s="127" t="inlineStr">
        <is>
          <t>FY27 Total</t>
        </is>
      </c>
      <c r="B633" s="127" t="inlineStr">
        <is>
          <t>FY2027 AOP</t>
        </is>
      </c>
      <c r="C633" s="139" t="inlineStr">
        <is>
          <t>Base</t>
        </is>
      </c>
      <c r="D633" s="205" t="inlineStr">
        <is>
          <t>Total Assets $</t>
        </is>
      </c>
      <c r="E633" s="146">
        <f>BS!AJ20</f>
        <v>350841.670515705</v>
      </c>
      <c r="F633" s="206" t="inlineStr">
        <is>
          <t>BS!AJ20</t>
        </is>
      </c>
      <c r="G633" s="143" t="inlineStr"/>
    </row>
    <row r="634">
      <c r="A634" s="127" t="inlineStr">
        <is>
          <t>FY27 Total</t>
        </is>
      </c>
      <c r="B634" s="127" t="inlineStr">
        <is>
          <t>FY2027 AOP</t>
        </is>
      </c>
      <c r="C634" s="139" t="inlineStr">
        <is>
          <t>Base</t>
        </is>
      </c>
      <c r="D634" s="205" t="inlineStr">
        <is>
          <t>Total Liabilities $</t>
        </is>
      </c>
      <c r="E634" s="146">
        <f>BS!AJ31</f>
        <v>292090.053555249</v>
      </c>
      <c r="F634" s="206" t="inlineStr">
        <is>
          <t>BS!AJ31</t>
        </is>
      </c>
      <c r="G634" s="143" t="inlineStr"/>
    </row>
    <row r="635">
      <c r="A635" s="127" t="inlineStr">
        <is>
          <t>FY27 Total</t>
        </is>
      </c>
      <c r="B635" s="127" t="inlineStr">
        <is>
          <t>FY2027 AOP</t>
        </is>
      </c>
      <c r="C635" s="139" t="inlineStr">
        <is>
          <t>Base</t>
        </is>
      </c>
      <c r="D635" s="205" t="inlineStr">
        <is>
          <t>Total Equity $</t>
        </is>
      </c>
      <c r="E635" s="146">
        <f>BS!AJ36</f>
        <v>58751.6169604564</v>
      </c>
      <c r="F635" s="206" t="inlineStr">
        <is>
          <t>BS!AJ36</t>
        </is>
      </c>
      <c r="G635" s="143" t="inlineStr"/>
    </row>
    <row r="636">
      <c r="A636" s="127" t="inlineStr">
        <is>
          <t>FY27 Total</t>
        </is>
      </c>
      <c r="B636" s="127" t="inlineStr">
        <is>
          <t>FY2027 AOP</t>
        </is>
      </c>
      <c r="C636" s="139" t="inlineStr">
        <is>
          <t>Base</t>
        </is>
      </c>
      <c r="D636" s="205" t="inlineStr">
        <is>
          <t>DSO</t>
        </is>
      </c>
      <c r="E636" s="190">
        <f>Drivers!G41</f>
        <v>33</v>
      </c>
      <c r="F636" s="206" t="inlineStr">
        <is>
          <t>Drivers!G41</t>
        </is>
      </c>
      <c r="G636" s="143" t="inlineStr">
        <is>
          <t>Drivers tab Active-column assumption (days), cascades with the live Drivers!B6 scenario switch -- constant across every quarter within this vintage (not period-specific), since DSO/DIO/DPO are not part of any vintage's Driver Adjustment Log.</t>
        </is>
      </c>
    </row>
    <row r="637">
      <c r="A637" s="127" t="inlineStr">
        <is>
          <t>FY27 Total</t>
        </is>
      </c>
      <c r="B637" s="127" t="inlineStr">
        <is>
          <t>FY2027 AOP</t>
        </is>
      </c>
      <c r="C637" s="139" t="inlineStr">
        <is>
          <t>Base</t>
        </is>
      </c>
      <c r="D637" s="205" t="inlineStr">
        <is>
          <t>DIO</t>
        </is>
      </c>
      <c r="E637" s="190">
        <f>Drivers!G42</f>
        <v>10</v>
      </c>
      <c r="F637" s="206" t="inlineStr">
        <is>
          <t>Drivers!G42</t>
        </is>
      </c>
      <c r="G637" s="143" t="inlineStr">
        <is>
          <t>Drivers tab Active-column assumption (days), cascades with the live Drivers!B6 scenario switch -- constant across every quarter within this vintage (not period-specific), since DSO/DIO/DPO are not part of any vintage's Driver Adjustment Log.</t>
        </is>
      </c>
    </row>
    <row r="638">
      <c r="A638" s="127" t="inlineStr">
        <is>
          <t>FY27 Total</t>
        </is>
      </c>
      <c r="B638" s="127" t="inlineStr">
        <is>
          <t>FY2027 AOP</t>
        </is>
      </c>
      <c r="C638" s="139" t="inlineStr">
        <is>
          <t>Base</t>
        </is>
      </c>
      <c r="D638" s="205" t="inlineStr">
        <is>
          <t>DPO</t>
        </is>
      </c>
      <c r="E638" s="190">
        <f>Drivers!G43</f>
        <v>115</v>
      </c>
      <c r="F638" s="206" t="inlineStr">
        <is>
          <t>Drivers!G43</t>
        </is>
      </c>
      <c r="G638" s="143" t="inlineStr">
        <is>
          <t>Drivers tab Active-column assumption (days), cascades with the live Drivers!B6 scenario switch -- constant across every quarter within this vintage (not period-specific), since DSO/DIO/DPO are not part of any vintage's Driver Adjustment Log.</t>
        </is>
      </c>
    </row>
    <row r="639">
      <c r="A639" s="207" t="inlineStr">
        <is>
          <t>FY26 Q1</t>
        </is>
      </c>
      <c r="B639" s="207" t="inlineStr">
        <is>
          <t>Q1 Forecast Update</t>
        </is>
      </c>
      <c r="C639" s="208" t="inlineStr">
        <is>
          <t>Actual</t>
        </is>
      </c>
      <c r="D639" s="207" t="inlineStr">
        <is>
          <t>Revenue Variance $</t>
        </is>
      </c>
      <c r="E639" s="146">
        <f>IS!R41</f>
        <v>10661.7701409408</v>
      </c>
      <c r="F639" s="209" t="inlineStr">
        <is>
          <t>IS!R41</t>
        </is>
      </c>
      <c r="G639" s="210" t="inlineStr">
        <is>
          <t>Waterfall A: FY26 Q1 real actual vs. FY2026 Approved AOP's own Q1 assumption (real actual-vs-plan variance).</t>
        </is>
      </c>
    </row>
    <row r="640">
      <c r="A640" s="207" t="inlineStr">
        <is>
          <t>FY26 Q1</t>
        </is>
      </c>
      <c r="B640" s="207" t="inlineStr">
        <is>
          <t>Q1 Forecast Update</t>
        </is>
      </c>
      <c r="C640" s="208" t="inlineStr">
        <is>
          <t>Actual</t>
        </is>
      </c>
      <c r="D640" s="207" t="inlineStr">
        <is>
          <t>Revenue Variance %</t>
        </is>
      </c>
      <c r="E640" s="142">
        <f>IS!S41</f>
        <v>0.0801069298964439</v>
      </c>
      <c r="F640" s="209" t="inlineStr">
        <is>
          <t>IS!S41</t>
        </is>
      </c>
      <c r="G640" s="210" t="inlineStr">
        <is>
          <t>Waterfall A: FY26 Q1 real actual vs. FY2026 Approved AOP's own Q1 assumption (real actual-vs-plan variance).</t>
        </is>
      </c>
    </row>
    <row r="641">
      <c r="A641" s="207" t="inlineStr">
        <is>
          <t>FY26 Q1</t>
        </is>
      </c>
      <c r="B641" s="207" t="inlineStr">
        <is>
          <t>Q1 Forecast Update</t>
        </is>
      </c>
      <c r="C641" s="208" t="inlineStr">
        <is>
          <t>Actual</t>
        </is>
      </c>
      <c r="D641" s="207" t="inlineStr">
        <is>
          <t>Gross Margin Variance $</t>
        </is>
      </c>
      <c r="E641" s="146">
        <f>IS!R44</f>
        <v>5649.03378861489</v>
      </c>
      <c r="F641" s="209" t="inlineStr">
        <is>
          <t>IS!R44</t>
        </is>
      </c>
      <c r="G641" s="210" t="inlineStr">
        <is>
          <t>Waterfall A: FY26 Q1 real actual vs. FY2026 Approved AOP's own Q1 assumption (real actual-vs-plan variance).</t>
        </is>
      </c>
    </row>
    <row r="642">
      <c r="A642" s="207" t="inlineStr">
        <is>
          <t>FY26 Q1</t>
        </is>
      </c>
      <c r="B642" s="207" t="inlineStr">
        <is>
          <t>Q1 Forecast Update</t>
        </is>
      </c>
      <c r="C642" s="208" t="inlineStr">
        <is>
          <t>Actual</t>
        </is>
      </c>
      <c r="D642" s="207" t="inlineStr">
        <is>
          <t>Operating Income Variance $</t>
        </is>
      </c>
      <c r="E642" s="146">
        <f>IS!R49</f>
        <v>7101.07403761471</v>
      </c>
      <c r="F642" s="209" t="inlineStr">
        <is>
          <t>IS!R49</t>
        </is>
      </c>
      <c r="G642" s="210" t="inlineStr">
        <is>
          <t>Waterfall A: FY26 Q1 real actual vs. FY2026 Approved AOP's own Q1 assumption (real actual-vs-plan variance).</t>
        </is>
      </c>
    </row>
    <row r="643">
      <c r="A643" s="207" t="inlineStr">
        <is>
          <t>FY26 Q1</t>
        </is>
      </c>
      <c r="B643" s="207" t="inlineStr">
        <is>
          <t>Q1 Forecast Update</t>
        </is>
      </c>
      <c r="C643" s="208" t="inlineStr">
        <is>
          <t>Actual</t>
        </is>
      </c>
      <c r="D643" s="207" t="inlineStr">
        <is>
          <t>Net Income Variance $</t>
        </is>
      </c>
      <c r="E643" s="146">
        <f>IS!R53</f>
        <v>5346.22219159635</v>
      </c>
      <c r="F643" s="209" t="inlineStr">
        <is>
          <t>IS!R53</t>
        </is>
      </c>
      <c r="G643" s="210" t="inlineStr">
        <is>
          <t>Waterfall A: FY26 Q1 real actual vs. FY2026 Approved AOP's own Q1 assumption (real actual-vs-plan variance).</t>
        </is>
      </c>
    </row>
    <row r="644">
      <c r="A644" s="207" t="inlineStr">
        <is>
          <t>FY26 Q1</t>
        </is>
      </c>
      <c r="B644" s="207" t="inlineStr">
        <is>
          <t>Q1 Forecast Update</t>
        </is>
      </c>
      <c r="C644" s="208" t="inlineStr">
        <is>
          <t>Actual</t>
        </is>
      </c>
      <c r="D644" s="207" t="inlineStr">
        <is>
          <t>EPS Variance $</t>
        </is>
      </c>
      <c r="E644" s="148">
        <f>IS!R57</f>
        <v>0.342567334001916</v>
      </c>
      <c r="F644" s="209" t="inlineStr">
        <is>
          <t>IS!R57</t>
        </is>
      </c>
      <c r="G644" s="210" t="inlineStr">
        <is>
          <t>Waterfall A: FY26 Q1 real actual vs. FY2026 Approved AOP's own Q1 assumption (real actual-vs-plan variance).</t>
        </is>
      </c>
    </row>
    <row r="645">
      <c r="A645" s="207" t="inlineStr">
        <is>
          <t>FY26 Q1</t>
        </is>
      </c>
      <c r="B645" s="207" t="inlineStr">
        <is>
          <t>Q1 Forecast Update</t>
        </is>
      </c>
      <c r="C645" s="208" t="inlineStr">
        <is>
          <t>Actual</t>
        </is>
      </c>
      <c r="D645" s="207" t="inlineStr">
        <is>
          <t>iPhone Revenue Variance $</t>
        </is>
      </c>
      <c r="E645" s="146">
        <f>'Forecast Bridge'!F20</f>
        <v>5253.46517589787</v>
      </c>
      <c r="F645" s="209" t="inlineStr">
        <is>
          <t>'Forecast Bridge'!F20</t>
        </is>
      </c>
      <c r="G645" s="210" t="inlineStr">
        <is>
          <t>Waterfall A: FY26 Q1 real actual vs. FY2026 Approved AOP's own Q1 assumption (real actual-vs-plan variance).</t>
        </is>
      </c>
    </row>
    <row r="646">
      <c r="A646" s="207" t="inlineStr">
        <is>
          <t>FY26 Q1</t>
        </is>
      </c>
      <c r="B646" s="207" t="inlineStr">
        <is>
          <t>Q1 Forecast Update</t>
        </is>
      </c>
      <c r="C646" s="208" t="inlineStr">
        <is>
          <t>Actual</t>
        </is>
      </c>
      <c r="D646" s="207" t="inlineStr">
        <is>
          <t>Mac Revenue Variance $</t>
        </is>
      </c>
      <c r="E646" s="146">
        <f>'Forecast Bridge'!F21</f>
        <v>865.732798002253</v>
      </c>
      <c r="F646" s="209" t="inlineStr">
        <is>
          <t>'Forecast Bridge'!F21</t>
        </is>
      </c>
      <c r="G646" s="210" t="inlineStr">
        <is>
          <t>Waterfall A: FY26 Q1 real actual vs. FY2026 Approved AOP's own Q1 assumption (real actual-vs-plan variance).</t>
        </is>
      </c>
    </row>
    <row r="647">
      <c r="A647" s="207" t="inlineStr">
        <is>
          <t>FY26 Q1</t>
        </is>
      </c>
      <c r="B647" s="207" t="inlineStr">
        <is>
          <t>Q1 Forecast Update</t>
        </is>
      </c>
      <c r="C647" s="208" t="inlineStr">
        <is>
          <t>Actual</t>
        </is>
      </c>
      <c r="D647" s="207" t="inlineStr">
        <is>
          <t>iPad Revenue Variance $</t>
        </is>
      </c>
      <c r="E647" s="146">
        <f>'Forecast Bridge'!F22</f>
        <v>695.535686181087</v>
      </c>
      <c r="F647" s="209" t="inlineStr">
        <is>
          <t>'Forecast Bridge'!F22</t>
        </is>
      </c>
      <c r="G647" s="210" t="inlineStr">
        <is>
          <t>Waterfall A: FY26 Q1 real actual vs. FY2026 Approved AOP's own Q1 assumption (real actual-vs-plan variance).</t>
        </is>
      </c>
    </row>
    <row r="648">
      <c r="A648" s="207" t="inlineStr">
        <is>
          <t>FY26 Q1</t>
        </is>
      </c>
      <c r="B648" s="207" t="inlineStr">
        <is>
          <t>Q1 Forecast Update</t>
        </is>
      </c>
      <c r="C648" s="208" t="inlineStr">
        <is>
          <t>Actual</t>
        </is>
      </c>
      <c r="D648" s="207" t="inlineStr">
        <is>
          <t>Wearables Revenue Variance $</t>
        </is>
      </c>
      <c r="E648" s="146">
        <f>'Forecast Bridge'!F23</f>
        <v>863.916590404107</v>
      </c>
      <c r="F648" s="209" t="inlineStr">
        <is>
          <t>'Forecast Bridge'!F23</t>
        </is>
      </c>
      <c r="G648" s="210" t="inlineStr">
        <is>
          <t>Waterfall A: FY26 Q1 real actual vs. FY2026 Approved AOP's own Q1 assumption (real actual-vs-plan variance).</t>
        </is>
      </c>
    </row>
    <row r="649">
      <c r="A649" s="207" t="inlineStr">
        <is>
          <t>FY26 Q1</t>
        </is>
      </c>
      <c r="B649" s="207" t="inlineStr">
        <is>
          <t>Q1 Forecast Update</t>
        </is>
      </c>
      <c r="C649" s="208" t="inlineStr">
        <is>
          <t>Actual</t>
        </is>
      </c>
      <c r="D649" s="207" t="inlineStr">
        <is>
          <t>Services Revenue Variance $</t>
        </is>
      </c>
      <c r="E649" s="146">
        <f>'Forecast Bridge'!F24</f>
        <v>2983.11989045553</v>
      </c>
      <c r="F649" s="209" t="inlineStr">
        <is>
          <t>'Forecast Bridge'!F24</t>
        </is>
      </c>
      <c r="G649" s="210" t="inlineStr">
        <is>
          <t>Waterfall A: FY26 Q1 real actual vs. FY2026 Approved AOP's own Q1 assumption (real actual-vs-plan variance).</t>
        </is>
      </c>
    </row>
    <row r="650">
      <c r="A650" s="207" t="inlineStr">
        <is>
          <t>FY26 Q2</t>
        </is>
      </c>
      <c r="B650" s="207" t="inlineStr">
        <is>
          <t>Q3 Reforecast</t>
        </is>
      </c>
      <c r="C650" s="208" t="inlineStr">
        <is>
          <t>Actual</t>
        </is>
      </c>
      <c r="D650" s="207" t="inlineStr">
        <is>
          <t>Revenue Variance $</t>
        </is>
      </c>
      <c r="E650" s="146">
        <f>IS!Z41</f>
        <v>7172.06628149386</v>
      </c>
      <c r="F650" s="209" t="inlineStr">
        <is>
          <t>IS!Z41</t>
        </is>
      </c>
      <c r="G650" s="210" t="inlineStr">
        <is>
          <t>Waterfall B: FY26 Q2 real actual vs. Q1 Forecast Update's own Q2 assumption (real actual-vs-plan variance).</t>
        </is>
      </c>
    </row>
    <row r="651">
      <c r="A651" s="207" t="inlineStr">
        <is>
          <t>FY26 Q2</t>
        </is>
      </c>
      <c r="B651" s="207" t="inlineStr">
        <is>
          <t>Q3 Reforecast</t>
        </is>
      </c>
      <c r="C651" s="208" t="inlineStr">
        <is>
          <t>Actual</t>
        </is>
      </c>
      <c r="D651" s="207" t="inlineStr">
        <is>
          <t>Revenue Variance %</t>
        </is>
      </c>
      <c r="E651" s="142">
        <f>IS!AA41</f>
        <v>0.0689542634684983</v>
      </c>
      <c r="F651" s="209" t="inlineStr">
        <is>
          <t>IS!AA41</t>
        </is>
      </c>
      <c r="G651" s="210" t="inlineStr">
        <is>
          <t>Waterfall B: FY26 Q2 real actual vs. Q1 Forecast Update's own Q2 assumption (real actual-vs-plan variance).</t>
        </is>
      </c>
    </row>
    <row r="652">
      <c r="A652" s="207" t="inlineStr">
        <is>
          <t>FY26 Q2</t>
        </is>
      </c>
      <c r="B652" s="207" t="inlineStr">
        <is>
          <t>Q3 Reforecast</t>
        </is>
      </c>
      <c r="C652" s="208" t="inlineStr">
        <is>
          <t>Actual</t>
        </is>
      </c>
      <c r="D652" s="207" t="inlineStr">
        <is>
          <t>Gross Margin Variance $</t>
        </is>
      </c>
      <c r="E652" s="146">
        <f>IS!Z44</f>
        <v>5092.26997561008</v>
      </c>
      <c r="F652" s="209" t="inlineStr">
        <is>
          <t>IS!Z44</t>
        </is>
      </c>
      <c r="G652" s="210" t="inlineStr">
        <is>
          <t>Waterfall B: FY26 Q2 real actual vs. Q1 Forecast Update's own Q2 assumption (real actual-vs-plan variance).</t>
        </is>
      </c>
    </row>
    <row r="653">
      <c r="A653" s="207" t="inlineStr">
        <is>
          <t>FY26 Q2</t>
        </is>
      </c>
      <c r="B653" s="207" t="inlineStr">
        <is>
          <t>Q3 Reforecast</t>
        </is>
      </c>
      <c r="C653" s="208" t="inlineStr">
        <is>
          <t>Actual</t>
        </is>
      </c>
      <c r="D653" s="207" t="inlineStr">
        <is>
          <t>Operating Income Variance $</t>
        </is>
      </c>
      <c r="E653" s="146">
        <f>IS!Z49</f>
        <v>-505.952332937566</v>
      </c>
      <c r="F653" s="209" t="inlineStr">
        <is>
          <t>IS!Z49</t>
        </is>
      </c>
      <c r="G653" s="210" t="inlineStr">
        <is>
          <t>Waterfall B: FY26 Q2 real actual vs. Q1 Forecast Update's own Q2 assumption (real actual-vs-plan variance).</t>
        </is>
      </c>
    </row>
    <row r="654">
      <c r="A654" s="207" t="inlineStr">
        <is>
          <t>FY26 Q2</t>
        </is>
      </c>
      <c r="B654" s="207" t="inlineStr">
        <is>
          <t>Q3 Reforecast</t>
        </is>
      </c>
      <c r="C654" s="208" t="inlineStr">
        <is>
          <t>Actual</t>
        </is>
      </c>
      <c r="D654" s="207" t="inlineStr">
        <is>
          <t>Net Income Variance $</t>
        </is>
      </c>
      <c r="E654" s="146">
        <f>IS!Z53</f>
        <v>-547.657208362951</v>
      </c>
      <c r="F654" s="209" t="inlineStr">
        <is>
          <t>IS!Z53</t>
        </is>
      </c>
      <c r="G654" s="210" t="inlineStr">
        <is>
          <t>Waterfall B: FY26 Q2 real actual vs. Q1 Forecast Update's own Q2 assumption (real actual-vs-plan variance).</t>
        </is>
      </c>
    </row>
    <row r="655">
      <c r="A655" s="207" t="inlineStr">
        <is>
          <t>FY26 Q2</t>
        </is>
      </c>
      <c r="B655" s="207" t="inlineStr">
        <is>
          <t>Q3 Reforecast</t>
        </is>
      </c>
      <c r="C655" s="208" t="inlineStr">
        <is>
          <t>Actual</t>
        </is>
      </c>
      <c r="D655" s="207" t="inlineStr">
        <is>
          <t>EPS Variance $</t>
        </is>
      </c>
      <c r="E655" s="148">
        <f>IS!Z57</f>
        <v>-0.0372165457032096</v>
      </c>
      <c r="F655" s="209" t="inlineStr">
        <is>
          <t>IS!Z57</t>
        </is>
      </c>
      <c r="G655" s="210" t="inlineStr">
        <is>
          <t>Waterfall B: FY26 Q2 real actual vs. Q1 Forecast Update's own Q2 assumption (real actual-vs-plan variance).</t>
        </is>
      </c>
    </row>
    <row r="656">
      <c r="A656" s="207" t="inlineStr">
        <is>
          <t>FY26 Q2</t>
        </is>
      </c>
      <c r="B656" s="207" t="inlineStr">
        <is>
          <t>Q3 Reforecast</t>
        </is>
      </c>
      <c r="C656" s="208" t="inlineStr">
        <is>
          <t>Actual</t>
        </is>
      </c>
      <c r="D656" s="207" t="inlineStr">
        <is>
          <t>iPhone Revenue Variance $</t>
        </is>
      </c>
      <c r="E656" s="146">
        <f>'Forecast Bridge'!F31</f>
        <v>3533.95355095647</v>
      </c>
      <c r="F656" s="209" t="inlineStr">
        <is>
          <t>'Forecast Bridge'!F31</t>
        </is>
      </c>
      <c r="G656" s="210" t="inlineStr">
        <is>
          <t>Waterfall B: FY26 Q2 real actual vs. Q1 Forecast Update's own Q2 assumption (real actual-vs-plan variance).</t>
        </is>
      </c>
    </row>
    <row r="657">
      <c r="A657" s="207" t="inlineStr">
        <is>
          <t>FY26 Q2</t>
        </is>
      </c>
      <c r="B657" s="207" t="inlineStr">
        <is>
          <t>Q3 Reforecast</t>
        </is>
      </c>
      <c r="C657" s="208" t="inlineStr">
        <is>
          <t>Actual</t>
        </is>
      </c>
      <c r="D657" s="207" t="inlineStr">
        <is>
          <t>Mac Revenue Variance $</t>
        </is>
      </c>
      <c r="E657" s="146">
        <f>'Forecast Bridge'!F32</f>
        <v>582.369806069313</v>
      </c>
      <c r="F657" s="209" t="inlineStr">
        <is>
          <t>'Forecast Bridge'!F32</t>
        </is>
      </c>
      <c r="G657" s="210" t="inlineStr">
        <is>
          <t>Waterfall B: FY26 Q2 real actual vs. Q1 Forecast Update's own Q2 assumption (real actual-vs-plan variance).</t>
        </is>
      </c>
    </row>
    <row r="658">
      <c r="A658" s="207" t="inlineStr">
        <is>
          <t>FY26 Q2</t>
        </is>
      </c>
      <c r="B658" s="207" t="inlineStr">
        <is>
          <t>Q3 Reforecast</t>
        </is>
      </c>
      <c r="C658" s="208" t="inlineStr">
        <is>
          <t>Actual</t>
        </is>
      </c>
      <c r="D658" s="207" t="inlineStr">
        <is>
          <t>iPad Revenue Variance $</t>
        </is>
      </c>
      <c r="E658" s="146">
        <f>'Forecast Bridge'!F33</f>
        <v>467.879908916784</v>
      </c>
      <c r="F658" s="209" t="inlineStr">
        <is>
          <t>'Forecast Bridge'!F33</t>
        </is>
      </c>
      <c r="G658" s="210" t="inlineStr">
        <is>
          <t>Waterfall B: FY26 Q2 real actual vs. Q1 Forecast Update's own Q2 assumption (real actual-vs-plan variance).</t>
        </is>
      </c>
    </row>
    <row r="659">
      <c r="A659" s="207" t="inlineStr">
        <is>
          <t>FY26 Q2</t>
        </is>
      </c>
      <c r="B659" s="207" t="inlineStr">
        <is>
          <t>Q3 Reforecast</t>
        </is>
      </c>
      <c r="C659" s="208" t="inlineStr">
        <is>
          <t>Actual</t>
        </is>
      </c>
      <c r="D659" s="207" t="inlineStr">
        <is>
          <t>Wearables Revenue Variance $</t>
        </is>
      </c>
      <c r="E659" s="146">
        <f>'Forecast Bridge'!F34</f>
        <v>581.148061358756</v>
      </c>
      <c r="F659" s="209" t="inlineStr">
        <is>
          <t>'Forecast Bridge'!F34</t>
        </is>
      </c>
      <c r="G659" s="210" t="inlineStr">
        <is>
          <t>Waterfall B: FY26 Q2 real actual vs. Q1 Forecast Update's own Q2 assumption (real actual-vs-plan variance).</t>
        </is>
      </c>
    </row>
    <row r="660">
      <c r="A660" s="207" t="inlineStr">
        <is>
          <t>FY26 Q2</t>
        </is>
      </c>
      <c r="B660" s="207" t="inlineStr">
        <is>
          <t>Q3 Reforecast</t>
        </is>
      </c>
      <c r="C660" s="208" t="inlineStr">
        <is>
          <t>Actual</t>
        </is>
      </c>
      <c r="D660" s="207" t="inlineStr">
        <is>
          <t>Services Revenue Variance $</t>
        </is>
      </c>
      <c r="E660" s="146">
        <f>'Forecast Bridge'!F35</f>
        <v>2006.71495419258</v>
      </c>
      <c r="F660" s="209" t="inlineStr">
        <is>
          <t>'Forecast Bridge'!F35</t>
        </is>
      </c>
      <c r="G660" s="210" t="inlineStr">
        <is>
          <t>Waterfall B: FY26 Q2 real actual vs. Q1 Forecast Update's own Q2 assumption (real actual-vs-plan variance).</t>
        </is>
      </c>
    </row>
    <row r="661">
      <c r="A661" s="207" t="inlineStr">
        <is>
          <t>FY26 Q3-Q4</t>
        </is>
      </c>
      <c r="B661" s="207" t="inlineStr">
        <is>
          <t>Q3 Reforecast</t>
        </is>
      </c>
      <c r="C661" s="208" t="inlineStr">
        <is>
          <t>Base</t>
        </is>
      </c>
      <c r="D661" s="207" t="inlineStr">
        <is>
          <t>Revenue Variance $</t>
        </is>
      </c>
      <c r="E661" s="146">
        <f>'Forecast Bridge'!F47</f>
        <v>3350.4404770783</v>
      </c>
      <c r="F661" s="209" t="inlineStr">
        <is>
          <t>'Forecast Bridge'!F47</t>
        </is>
      </c>
      <c r="G661" s="210" t="inlineStr">
        <is>
          <t>Waterfall C: Q3 Reforecast's own Q3+Q4 forecast minus Q1 Forecast Update's own Q3+Q4 forecast -- a FORECAST REVISION (not an actual-vs-plan variance; FY26 Q3-Q4 have not happened yet), and inherently a combined 2-quarter figure (Forecast Bridge tab does not split it by quarter).</t>
        </is>
      </c>
    </row>
    <row r="662">
      <c r="A662" s="207" t="inlineStr">
        <is>
          <t>FY26 Q3-Q4</t>
        </is>
      </c>
      <c r="B662" s="207" t="inlineStr">
        <is>
          <t>Q3 Reforecast</t>
        </is>
      </c>
      <c r="C662" s="208" t="inlineStr">
        <is>
          <t>Base</t>
        </is>
      </c>
      <c r="D662" s="207" t="inlineStr">
        <is>
          <t>iPhone Revenue Variance $</t>
        </is>
      </c>
      <c r="E662" s="146">
        <f>'Forecast Bridge'!F42</f>
        <v>1650.89118763315</v>
      </c>
      <c r="F662" s="209" t="inlineStr">
        <is>
          <t>'Forecast Bridge'!F42</t>
        </is>
      </c>
      <c r="G662" s="210" t="inlineStr">
        <is>
          <t>Waterfall C: Q3 Reforecast's own Q3+Q4 forecast minus Q1 Forecast Update's own Q3+Q4 forecast -- a FORECAST REVISION (not an actual-vs-plan variance; FY26 Q3-Q4 have not happened yet), and inherently a combined 2-quarter figure (Forecast Bridge tab does not split it by quarter).</t>
        </is>
      </c>
    </row>
    <row r="663">
      <c r="A663" s="207" t="inlineStr">
        <is>
          <t>FY26 Q3-Q4</t>
        </is>
      </c>
      <c r="B663" s="207" t="inlineStr">
        <is>
          <t>Q3 Reforecast</t>
        </is>
      </c>
      <c r="C663" s="208" t="inlineStr">
        <is>
          <t>Base</t>
        </is>
      </c>
      <c r="D663" s="207" t="inlineStr">
        <is>
          <t>Mac Revenue Variance $</t>
        </is>
      </c>
      <c r="E663" s="146">
        <f>'Forecast Bridge'!F43</f>
        <v>272.054843653292</v>
      </c>
      <c r="F663" s="209" t="inlineStr">
        <is>
          <t>'Forecast Bridge'!F43</t>
        </is>
      </c>
      <c r="G663" s="210" t="inlineStr">
        <is>
          <t>Waterfall C: Q3 Reforecast's own Q3+Q4 forecast minus Q1 Forecast Update's own Q3+Q4 forecast -- a FORECAST REVISION (not an actual-vs-plan variance; FY26 Q3-Q4 have not happened yet), and inherently a combined 2-quarter figure (Forecast Bridge tab does not split it by quarter).</t>
        </is>
      </c>
    </row>
    <row r="664">
      <c r="A664" s="207" t="inlineStr">
        <is>
          <t>FY26 Q3-Q4</t>
        </is>
      </c>
      <c r="B664" s="207" t="inlineStr">
        <is>
          <t>Q3 Reforecast</t>
        </is>
      </c>
      <c r="C664" s="208" t="inlineStr">
        <is>
          <t>Base</t>
        </is>
      </c>
      <c r="D664" s="207" t="inlineStr">
        <is>
          <t>iPad Revenue Variance $</t>
        </is>
      </c>
      <c r="E664" s="146">
        <f>'Forecast Bridge'!F44</f>
        <v>218.570733136055</v>
      </c>
      <c r="F664" s="209" t="inlineStr">
        <is>
          <t>'Forecast Bridge'!F44</t>
        </is>
      </c>
      <c r="G664" s="210" t="inlineStr">
        <is>
          <t>Waterfall C: Q3 Reforecast's own Q3+Q4 forecast minus Q1 Forecast Update's own Q3+Q4 forecast -- a FORECAST REVISION (not an actual-vs-plan variance; FY26 Q3-Q4 have not happened yet), and inherently a combined 2-quarter figure (Forecast Bridge tab does not split it by quarter).</t>
        </is>
      </c>
    </row>
    <row r="665">
      <c r="A665" s="207" t="inlineStr">
        <is>
          <t>FY26 Q3-Q4</t>
        </is>
      </c>
      <c r="B665" s="207" t="inlineStr">
        <is>
          <t>Q3 Reforecast</t>
        </is>
      </c>
      <c r="C665" s="208" t="inlineStr">
        <is>
          <t>Base</t>
        </is>
      </c>
      <c r="D665" s="207" t="inlineStr">
        <is>
          <t>Wearables Revenue Variance $</t>
        </is>
      </c>
      <c r="E665" s="146">
        <f>'Forecast Bridge'!F45</f>
        <v>271.484103957053</v>
      </c>
      <c r="F665" s="209" t="inlineStr">
        <is>
          <t>'Forecast Bridge'!F45</t>
        </is>
      </c>
      <c r="G665" s="210" t="inlineStr">
        <is>
          <t>Waterfall C: Q3 Reforecast's own Q3+Q4 forecast minus Q1 Forecast Update's own Q3+Q4 forecast -- a FORECAST REVISION (not an actual-vs-plan variance; FY26 Q3-Q4 have not happened yet), and inherently a combined 2-quarter figure (Forecast Bridge tab does not split it by quarter).</t>
        </is>
      </c>
    </row>
    <row r="666">
      <c r="A666" s="207" t="inlineStr">
        <is>
          <t>FY26 Q3-Q4</t>
        </is>
      </c>
      <c r="B666" s="207" t="inlineStr">
        <is>
          <t>Q3 Reforecast</t>
        </is>
      </c>
      <c r="C666" s="208" t="inlineStr">
        <is>
          <t>Base</t>
        </is>
      </c>
      <c r="D666" s="207" t="inlineStr">
        <is>
          <t>Services Revenue Variance $</t>
        </is>
      </c>
      <c r="E666" s="146">
        <f>'Forecast Bridge'!F46</f>
        <v>937.439608698747</v>
      </c>
      <c r="F666" s="209" t="inlineStr">
        <is>
          <t>'Forecast Bridge'!F46</t>
        </is>
      </c>
      <c r="G666" s="210" t="inlineStr">
        <is>
          <t>Waterfall C: Q3 Reforecast's own Q3+Q4 forecast minus Q1 Forecast Update's own Q3+Q4 forecast -- a FORECAST REVISION (not an actual-vs-plan variance; FY26 Q3-Q4 have not happened yet), and inherently a combined 2-quarter figure (Forecast Bridge tab does not split it by quarter).</t>
        </is>
      </c>
    </row>
    <row r="667">
      <c r="A667" s="207" t="inlineStr">
        <is>
          <t>FY26 Q1</t>
        </is>
      </c>
      <c r="B667" s="207" t="inlineStr">
        <is>
          <t>Q1 Forecast Update</t>
        </is>
      </c>
      <c r="C667" s="208" t="inlineStr">
        <is>
          <t>Actual</t>
        </is>
      </c>
      <c r="D667" s="207" t="inlineStr">
        <is>
          <t>iPhone Revenue Variance $ -- Units</t>
        </is>
      </c>
      <c r="E667" s="146">
        <f>'Forecast Bridge'!B20</f>
        <v>2251.4850753848</v>
      </c>
      <c r="F667" s="209" t="inlineStr">
        <is>
          <t>'Forecast Bridge'!B20</t>
        </is>
      </c>
      <c r="G667" s="210" t="inlineStr">
        <is>
          <t>Waterfall A driver sub-attribution: FY26 Q1 real actual-vs-plan segment $ variance (Forecast Bridge F20:F24) split into Units/ASP/FX/Mix per Forecast Bridge's own weight-based allocation (Forecast Bridge rows 11-15/6 -- a modeled allocation, not an independently disclosed driver split).</t>
        </is>
      </c>
    </row>
    <row r="668">
      <c r="A668" s="207" t="inlineStr">
        <is>
          <t>FY26 Q1</t>
        </is>
      </c>
      <c r="B668" s="207" t="inlineStr">
        <is>
          <t>Q1 Forecast Update</t>
        </is>
      </c>
      <c r="C668" s="208" t="inlineStr">
        <is>
          <t>Actual</t>
        </is>
      </c>
      <c r="D668" s="207" t="inlineStr">
        <is>
          <t>iPhone Revenue Variance $ -- ASP</t>
        </is>
      </c>
      <c r="E668" s="146">
        <f>'Forecast Bridge'!C20</f>
        <v>3001.98010051307</v>
      </c>
      <c r="F668" s="209" t="inlineStr">
        <is>
          <t>'Forecast Bridge'!C20</t>
        </is>
      </c>
      <c r="G668" s="210" t="inlineStr">
        <is>
          <t>Waterfall A driver sub-attribution: FY26 Q1 real actual-vs-plan segment $ variance (Forecast Bridge F20:F24) split into Units/ASP/FX/Mix per Forecast Bridge's own weight-based allocation (Forecast Bridge rows 11-15/6 -- a modeled allocation, not an independently disclosed driver split).</t>
        </is>
      </c>
    </row>
    <row r="669">
      <c r="A669" s="207" t="inlineStr">
        <is>
          <t>FY26 Q1</t>
        </is>
      </c>
      <c r="B669" s="207" t="inlineStr">
        <is>
          <t>Q1 Forecast Update</t>
        </is>
      </c>
      <c r="C669" s="208" t="inlineStr">
        <is>
          <t>Actual</t>
        </is>
      </c>
      <c r="D669" s="207" t="inlineStr">
        <is>
          <t>iPhone Revenue Variance $ -- FX</t>
        </is>
      </c>
      <c r="E669" s="146">
        <f>'Forecast Bridge'!D20</f>
        <v>0</v>
      </c>
      <c r="F669" s="209" t="inlineStr">
        <is>
          <t>'Forecast Bridge'!D20</t>
        </is>
      </c>
      <c r="G669" s="210" t="inlineStr">
        <is>
          <t>Waterfall A driver sub-attribution: FY26 Q1 real actual-vs-plan segment $ variance (Forecast Bridge F20:F24) split into Units/ASP/FX/Mix per Forecast Bridge's own weight-based allocation (Forecast Bridge rows 11-15/6 -- a modeled allocation, not an independently disclosed driver split).</t>
        </is>
      </c>
    </row>
    <row r="670">
      <c r="A670" s="207" t="inlineStr">
        <is>
          <t>FY26 Q1</t>
        </is>
      </c>
      <c r="B670" s="207" t="inlineStr">
        <is>
          <t>Q1 Forecast Update</t>
        </is>
      </c>
      <c r="C670" s="208" t="inlineStr">
        <is>
          <t>Actual</t>
        </is>
      </c>
      <c r="D670" s="207" t="inlineStr">
        <is>
          <t>iPhone Revenue Variance $ -- Mix</t>
        </is>
      </c>
      <c r="E670" s="146">
        <f>'Forecast Bridge'!E20</f>
        <v>0</v>
      </c>
      <c r="F670" s="209" t="inlineStr">
        <is>
          <t>'Forecast Bridge'!E20</t>
        </is>
      </c>
      <c r="G670" s="210" t="inlineStr">
        <is>
          <t>Waterfall A driver sub-attribution: FY26 Q1 real actual-vs-plan segment $ variance (Forecast Bridge F20:F24) split into Units/ASP/FX/Mix per Forecast Bridge's own weight-based allocation (Forecast Bridge rows 11-15/6 -- a modeled allocation, not an independently disclosed driver split).</t>
        </is>
      </c>
    </row>
    <row r="671">
      <c r="A671" s="207" t="inlineStr">
        <is>
          <t>FY26 Q1</t>
        </is>
      </c>
      <c r="B671" s="207" t="inlineStr">
        <is>
          <t>Q1 Forecast Update</t>
        </is>
      </c>
      <c r="C671" s="208" t="inlineStr">
        <is>
          <t>Actual</t>
        </is>
      </c>
      <c r="D671" s="207" t="inlineStr">
        <is>
          <t>Mac Revenue Variance $ -- Units</t>
        </is>
      </c>
      <c r="E671" s="146">
        <f>'Forecast Bridge'!B21</f>
        <v>577.155198668169</v>
      </c>
      <c r="F671" s="209" t="inlineStr">
        <is>
          <t>'Forecast Bridge'!B21</t>
        </is>
      </c>
      <c r="G671" s="210" t="inlineStr">
        <is>
          <t>Waterfall A driver sub-attribution: FY26 Q1 real actual-vs-plan segment $ variance (Forecast Bridge F20:F24) split into Units/ASP/FX/Mix per Forecast Bridge's own weight-based allocation (Forecast Bridge rows 11-15/6 -- a modeled allocation, not an independently disclosed driver split).</t>
        </is>
      </c>
    </row>
    <row r="672">
      <c r="A672" s="207" t="inlineStr">
        <is>
          <t>FY26 Q1</t>
        </is>
      </c>
      <c r="B672" s="207" t="inlineStr">
        <is>
          <t>Q1 Forecast Update</t>
        </is>
      </c>
      <c r="C672" s="208" t="inlineStr">
        <is>
          <t>Actual</t>
        </is>
      </c>
      <c r="D672" s="207" t="inlineStr">
        <is>
          <t>Mac Revenue Variance $ -- ASP</t>
        </is>
      </c>
      <c r="E672" s="146">
        <f>'Forecast Bridge'!C21</f>
        <v>288.577599334084</v>
      </c>
      <c r="F672" s="209" t="inlineStr">
        <is>
          <t>'Forecast Bridge'!C21</t>
        </is>
      </c>
      <c r="G672" s="210" t="inlineStr">
        <is>
          <t>Waterfall A driver sub-attribution: FY26 Q1 real actual-vs-plan segment $ variance (Forecast Bridge F20:F24) split into Units/ASP/FX/Mix per Forecast Bridge's own weight-based allocation (Forecast Bridge rows 11-15/6 -- a modeled allocation, not an independently disclosed driver split).</t>
        </is>
      </c>
    </row>
    <row r="673">
      <c r="A673" s="207" t="inlineStr">
        <is>
          <t>FY26 Q1</t>
        </is>
      </c>
      <c r="B673" s="207" t="inlineStr">
        <is>
          <t>Q1 Forecast Update</t>
        </is>
      </c>
      <c r="C673" s="208" t="inlineStr">
        <is>
          <t>Actual</t>
        </is>
      </c>
      <c r="D673" s="207" t="inlineStr">
        <is>
          <t>Mac Revenue Variance $ -- FX</t>
        </is>
      </c>
      <c r="E673" s="146">
        <f>'Forecast Bridge'!D21</f>
        <v>0</v>
      </c>
      <c r="F673" s="209" t="inlineStr">
        <is>
          <t>'Forecast Bridge'!D21</t>
        </is>
      </c>
      <c r="G673" s="210" t="inlineStr">
        <is>
          <t>Waterfall A driver sub-attribution: FY26 Q1 real actual-vs-plan segment $ variance (Forecast Bridge F20:F24) split into Units/ASP/FX/Mix per Forecast Bridge's own weight-based allocation (Forecast Bridge rows 11-15/6 -- a modeled allocation, not an independently disclosed driver split).</t>
        </is>
      </c>
    </row>
    <row r="674">
      <c r="A674" s="207" t="inlineStr">
        <is>
          <t>FY26 Q1</t>
        </is>
      </c>
      <c r="B674" s="207" t="inlineStr">
        <is>
          <t>Q1 Forecast Update</t>
        </is>
      </c>
      <c r="C674" s="208" t="inlineStr">
        <is>
          <t>Actual</t>
        </is>
      </c>
      <c r="D674" s="207" t="inlineStr">
        <is>
          <t>Mac Revenue Variance $ -- Mix</t>
        </is>
      </c>
      <c r="E674" s="146">
        <f>'Forecast Bridge'!E21</f>
        <v>0</v>
      </c>
      <c r="F674" s="209" t="inlineStr">
        <is>
          <t>'Forecast Bridge'!E21</t>
        </is>
      </c>
      <c r="G674" s="210" t="inlineStr">
        <is>
          <t>Waterfall A driver sub-attribution: FY26 Q1 real actual-vs-plan segment $ variance (Forecast Bridge F20:F24) split into Units/ASP/FX/Mix per Forecast Bridge's own weight-based allocation (Forecast Bridge rows 11-15/6 -- a modeled allocation, not an independently disclosed driver split).</t>
        </is>
      </c>
    </row>
    <row r="675">
      <c r="A675" s="207" t="inlineStr">
        <is>
          <t>FY26 Q1</t>
        </is>
      </c>
      <c r="B675" s="207" t="inlineStr">
        <is>
          <t>Q1 Forecast Update</t>
        </is>
      </c>
      <c r="C675" s="208" t="inlineStr">
        <is>
          <t>Actual</t>
        </is>
      </c>
      <c r="D675" s="207" t="inlineStr">
        <is>
          <t>iPad Revenue Variance $ -- Units</t>
        </is>
      </c>
      <c r="E675" s="146">
        <f>'Forecast Bridge'!B22</f>
        <v>278.214274472435</v>
      </c>
      <c r="F675" s="209" t="inlineStr">
        <is>
          <t>'Forecast Bridge'!B22</t>
        </is>
      </c>
      <c r="G675" s="210" t="inlineStr">
        <is>
          <t>Waterfall A driver sub-attribution: FY26 Q1 real actual-vs-plan segment $ variance (Forecast Bridge F20:F24) split into Units/ASP/FX/Mix per Forecast Bridge's own weight-based allocation (Forecast Bridge rows 11-15/6 -- a modeled allocation, not an independently disclosed driver split).</t>
        </is>
      </c>
    </row>
    <row r="676">
      <c r="A676" s="207" t="inlineStr">
        <is>
          <t>FY26 Q1</t>
        </is>
      </c>
      <c r="B676" s="207" t="inlineStr">
        <is>
          <t>Q1 Forecast Update</t>
        </is>
      </c>
      <c r="C676" s="208" t="inlineStr">
        <is>
          <t>Actual</t>
        </is>
      </c>
      <c r="D676" s="207" t="inlineStr">
        <is>
          <t>iPad Revenue Variance $ -- ASP</t>
        </is>
      </c>
      <c r="E676" s="146">
        <f>'Forecast Bridge'!C22</f>
        <v>417.321411708652</v>
      </c>
      <c r="F676" s="209" t="inlineStr">
        <is>
          <t>'Forecast Bridge'!C22</t>
        </is>
      </c>
      <c r="G676" s="210" t="inlineStr">
        <is>
          <t>Waterfall A driver sub-attribution: FY26 Q1 real actual-vs-plan segment $ variance (Forecast Bridge F20:F24) split into Units/ASP/FX/Mix per Forecast Bridge's own weight-based allocation (Forecast Bridge rows 11-15/6 -- a modeled allocation, not an independently disclosed driver split).</t>
        </is>
      </c>
    </row>
    <row r="677">
      <c r="A677" s="207" t="inlineStr">
        <is>
          <t>FY26 Q1</t>
        </is>
      </c>
      <c r="B677" s="207" t="inlineStr">
        <is>
          <t>Q1 Forecast Update</t>
        </is>
      </c>
      <c r="C677" s="208" t="inlineStr">
        <is>
          <t>Actual</t>
        </is>
      </c>
      <c r="D677" s="207" t="inlineStr">
        <is>
          <t>iPad Revenue Variance $ -- FX</t>
        </is>
      </c>
      <c r="E677" s="146">
        <f>'Forecast Bridge'!D22</f>
        <v>0</v>
      </c>
      <c r="F677" s="209" t="inlineStr">
        <is>
          <t>'Forecast Bridge'!D22</t>
        </is>
      </c>
      <c r="G677" s="210" t="inlineStr">
        <is>
          <t>Waterfall A driver sub-attribution: FY26 Q1 real actual-vs-plan segment $ variance (Forecast Bridge F20:F24) split into Units/ASP/FX/Mix per Forecast Bridge's own weight-based allocation (Forecast Bridge rows 11-15/6 -- a modeled allocation, not an independently disclosed driver split).</t>
        </is>
      </c>
    </row>
    <row r="678">
      <c r="A678" s="207" t="inlineStr">
        <is>
          <t>FY26 Q1</t>
        </is>
      </c>
      <c r="B678" s="207" t="inlineStr">
        <is>
          <t>Q1 Forecast Update</t>
        </is>
      </c>
      <c r="C678" s="208" t="inlineStr">
        <is>
          <t>Actual</t>
        </is>
      </c>
      <c r="D678" s="207" t="inlineStr">
        <is>
          <t>iPad Revenue Variance $ -- Mix</t>
        </is>
      </c>
      <c r="E678" s="146">
        <f>'Forecast Bridge'!E22</f>
        <v>0</v>
      </c>
      <c r="F678" s="209" t="inlineStr">
        <is>
          <t>'Forecast Bridge'!E22</t>
        </is>
      </c>
      <c r="G678" s="210" t="inlineStr">
        <is>
          <t>Waterfall A driver sub-attribution: FY26 Q1 real actual-vs-plan segment $ variance (Forecast Bridge F20:F24) split into Units/ASP/FX/Mix per Forecast Bridge's own weight-based allocation (Forecast Bridge rows 11-15/6 -- a modeled allocation, not an independently disclosed driver split).</t>
        </is>
      </c>
    </row>
    <row r="679">
      <c r="A679" s="207" t="inlineStr">
        <is>
          <t>FY26 Q1</t>
        </is>
      </c>
      <c r="B679" s="207" t="inlineStr">
        <is>
          <t>Q1 Forecast Update</t>
        </is>
      </c>
      <c r="C679" s="208" t="inlineStr">
        <is>
          <t>Actual</t>
        </is>
      </c>
      <c r="D679" s="207" t="inlineStr">
        <is>
          <t>Wearables Revenue Variance $ -- Units</t>
        </is>
      </c>
      <c r="E679" s="146">
        <f>'Forecast Bridge'!B23</f>
        <v>431.958295202054</v>
      </c>
      <c r="F679" s="209" t="inlineStr">
        <is>
          <t>'Forecast Bridge'!B23</t>
        </is>
      </c>
      <c r="G679" s="210" t="inlineStr">
        <is>
          <t>Waterfall A driver sub-attribution: FY26 Q1 real actual-vs-plan segment $ variance (Forecast Bridge F20:F24) split into Units/ASP/FX/Mix per Forecast Bridge's own weight-based allocation (Forecast Bridge rows 11-15/6 -- a modeled allocation, not an independently disclosed driver split).</t>
        </is>
      </c>
    </row>
    <row r="680">
      <c r="A680" s="207" t="inlineStr">
        <is>
          <t>FY26 Q1</t>
        </is>
      </c>
      <c r="B680" s="207" t="inlineStr">
        <is>
          <t>Q1 Forecast Update</t>
        </is>
      </c>
      <c r="C680" s="208" t="inlineStr">
        <is>
          <t>Actual</t>
        </is>
      </c>
      <c r="D680" s="207" t="inlineStr">
        <is>
          <t>Wearables Revenue Variance $ -- ASP</t>
        </is>
      </c>
      <c r="E680" s="146">
        <f>'Forecast Bridge'!C23</f>
        <v>431.958295202054</v>
      </c>
      <c r="F680" s="209" t="inlineStr">
        <is>
          <t>'Forecast Bridge'!C23</t>
        </is>
      </c>
      <c r="G680" s="210" t="inlineStr">
        <is>
          <t>Waterfall A driver sub-attribution: FY26 Q1 real actual-vs-plan segment $ variance (Forecast Bridge F20:F24) split into Units/ASP/FX/Mix per Forecast Bridge's own weight-based allocation (Forecast Bridge rows 11-15/6 -- a modeled allocation, not an independently disclosed driver split).</t>
        </is>
      </c>
    </row>
    <row r="681">
      <c r="A681" s="207" t="inlineStr">
        <is>
          <t>FY26 Q1</t>
        </is>
      </c>
      <c r="B681" s="207" t="inlineStr">
        <is>
          <t>Q1 Forecast Update</t>
        </is>
      </c>
      <c r="C681" s="208" t="inlineStr">
        <is>
          <t>Actual</t>
        </is>
      </c>
      <c r="D681" s="207" t="inlineStr">
        <is>
          <t>Wearables Revenue Variance $ -- FX</t>
        </is>
      </c>
      <c r="E681" s="146">
        <f>'Forecast Bridge'!D23</f>
        <v>0</v>
      </c>
      <c r="F681" s="209" t="inlineStr">
        <is>
          <t>'Forecast Bridge'!D23</t>
        </is>
      </c>
      <c r="G681" s="210" t="inlineStr">
        <is>
          <t>Waterfall A driver sub-attribution: FY26 Q1 real actual-vs-plan segment $ variance (Forecast Bridge F20:F24) split into Units/ASP/FX/Mix per Forecast Bridge's own weight-based allocation (Forecast Bridge rows 11-15/6 -- a modeled allocation, not an independently disclosed driver split).</t>
        </is>
      </c>
    </row>
    <row r="682">
      <c r="A682" s="207" t="inlineStr">
        <is>
          <t>FY26 Q1</t>
        </is>
      </c>
      <c r="B682" s="207" t="inlineStr">
        <is>
          <t>Q1 Forecast Update</t>
        </is>
      </c>
      <c r="C682" s="208" t="inlineStr">
        <is>
          <t>Actual</t>
        </is>
      </c>
      <c r="D682" s="207" t="inlineStr">
        <is>
          <t>Wearables Revenue Variance $ -- Mix</t>
        </is>
      </c>
      <c r="E682" s="146">
        <f>'Forecast Bridge'!E23</f>
        <v>0</v>
      </c>
      <c r="F682" s="209" t="inlineStr">
        <is>
          <t>'Forecast Bridge'!E23</t>
        </is>
      </c>
      <c r="G682" s="210" t="inlineStr">
        <is>
          <t>Waterfall A driver sub-attribution: FY26 Q1 real actual-vs-plan segment $ variance (Forecast Bridge F20:F24) split into Units/ASP/FX/Mix per Forecast Bridge's own weight-based allocation (Forecast Bridge rows 11-15/6 -- a modeled allocation, not an independently disclosed driver split).</t>
        </is>
      </c>
    </row>
    <row r="683">
      <c r="A683" s="207" t="inlineStr">
        <is>
          <t>FY26 Q1</t>
        </is>
      </c>
      <c r="B683" s="207" t="inlineStr">
        <is>
          <t>Q1 Forecast Update</t>
        </is>
      </c>
      <c r="C683" s="208" t="inlineStr">
        <is>
          <t>Actual</t>
        </is>
      </c>
      <c r="D683" s="207" t="inlineStr">
        <is>
          <t>Services Revenue Variance $ -- Units</t>
        </is>
      </c>
      <c r="E683" s="146">
        <f>'Forecast Bridge'!B24</f>
        <v>1789.87193427332</v>
      </c>
      <c r="F683" s="209" t="inlineStr">
        <is>
          <t>'Forecast Bridge'!B24</t>
        </is>
      </c>
      <c r="G683" s="210" t="inlineStr">
        <is>
          <t>Waterfall A driver sub-attribution: FY26 Q1 real actual-vs-plan segment $ variance (Forecast Bridge F20:F24) split into Units/ASP/FX/Mix per Forecast Bridge's own weight-based allocation (Forecast Bridge rows 11-15/6 -- a modeled allocation, not an independently disclosed driver split).</t>
        </is>
      </c>
    </row>
    <row r="684">
      <c r="A684" s="207" t="inlineStr">
        <is>
          <t>FY26 Q1</t>
        </is>
      </c>
      <c r="B684" s="207" t="inlineStr">
        <is>
          <t>Q1 Forecast Update</t>
        </is>
      </c>
      <c r="C684" s="208" t="inlineStr">
        <is>
          <t>Actual</t>
        </is>
      </c>
      <c r="D684" s="207" t="inlineStr">
        <is>
          <t>Services Revenue Variance $ -- ASP</t>
        </is>
      </c>
      <c r="E684" s="146">
        <f>'Forecast Bridge'!C24</f>
        <v>1193.24795618221</v>
      </c>
      <c r="F684" s="209" t="inlineStr">
        <is>
          <t>'Forecast Bridge'!C24</t>
        </is>
      </c>
      <c r="G684" s="210" t="inlineStr">
        <is>
          <t>Waterfall A driver sub-attribution: FY26 Q1 real actual-vs-plan segment $ variance (Forecast Bridge F20:F24) split into Units/ASP/FX/Mix per Forecast Bridge's own weight-based allocation (Forecast Bridge rows 11-15/6 -- a modeled allocation, not an independently disclosed driver split).</t>
        </is>
      </c>
    </row>
    <row r="685">
      <c r="A685" s="207" t="inlineStr">
        <is>
          <t>FY26 Q1</t>
        </is>
      </c>
      <c r="B685" s="207" t="inlineStr">
        <is>
          <t>Q1 Forecast Update</t>
        </is>
      </c>
      <c r="C685" s="208" t="inlineStr">
        <is>
          <t>Actual</t>
        </is>
      </c>
      <c r="D685" s="207" t="inlineStr">
        <is>
          <t>Services Revenue Variance $ -- FX</t>
        </is>
      </c>
      <c r="E685" s="146">
        <f>'Forecast Bridge'!D24</f>
        <v>0</v>
      </c>
      <c r="F685" s="209" t="inlineStr">
        <is>
          <t>'Forecast Bridge'!D24</t>
        </is>
      </c>
      <c r="G685" s="210" t="inlineStr">
        <is>
          <t>Waterfall A driver sub-attribution: FY26 Q1 real actual-vs-plan segment $ variance (Forecast Bridge F20:F24) split into Units/ASP/FX/Mix per Forecast Bridge's own weight-based allocation (Forecast Bridge rows 11-15/6 -- a modeled allocation, not an independently disclosed driver split).</t>
        </is>
      </c>
    </row>
    <row r="686">
      <c r="A686" s="207" t="inlineStr">
        <is>
          <t>FY26 Q1</t>
        </is>
      </c>
      <c r="B686" s="207" t="inlineStr">
        <is>
          <t>Q1 Forecast Update</t>
        </is>
      </c>
      <c r="C686" s="208" t="inlineStr">
        <is>
          <t>Actual</t>
        </is>
      </c>
      <c r="D686" s="207" t="inlineStr">
        <is>
          <t>Services Revenue Variance $ -- Mix</t>
        </is>
      </c>
      <c r="E686" s="146">
        <f>'Forecast Bridge'!E24</f>
        <v>0</v>
      </c>
      <c r="F686" s="209" t="inlineStr">
        <is>
          <t>'Forecast Bridge'!E24</t>
        </is>
      </c>
      <c r="G686" s="210" t="inlineStr">
        <is>
          <t>Waterfall A driver sub-attribution: FY26 Q1 real actual-vs-plan segment $ variance (Forecast Bridge F20:F24) split into Units/ASP/FX/Mix per Forecast Bridge's own weight-based allocation (Forecast Bridge rows 11-15/6 -- a modeled allocation, not an independently disclosed driver split).</t>
        </is>
      </c>
    </row>
    <row r="687">
      <c r="A687" s="207" t="inlineStr">
        <is>
          <t>FY26 Q2</t>
        </is>
      </c>
      <c r="B687" s="207" t="inlineStr">
        <is>
          <t>Q3 Reforecast</t>
        </is>
      </c>
      <c r="C687" s="208" t="inlineStr">
        <is>
          <t>Actual</t>
        </is>
      </c>
      <c r="D687" s="207" t="inlineStr">
        <is>
          <t>iPhone Revenue Variance $ -- Units</t>
        </is>
      </c>
      <c r="E687" s="146">
        <f>'Forecast Bridge'!B31</f>
        <v>1514.55152183849</v>
      </c>
      <c r="F687" s="209" t="inlineStr">
        <is>
          <t>'Forecast Bridge'!B31</t>
        </is>
      </c>
      <c r="G687" s="210" t="inlineStr">
        <is>
          <t>Waterfall B driver sub-attribution: FY26 Q2 real actual-vs-plan segment $ variance (Forecast Bridge F31:F35) split into Units/ASP/FX/Mix per Forecast Bridge's own weight-based allocation (same caveat as Waterfall A).</t>
        </is>
      </c>
    </row>
    <row r="688">
      <c r="A688" s="207" t="inlineStr">
        <is>
          <t>FY26 Q2</t>
        </is>
      </c>
      <c r="B688" s="207" t="inlineStr">
        <is>
          <t>Q3 Reforecast</t>
        </is>
      </c>
      <c r="C688" s="208" t="inlineStr">
        <is>
          <t>Actual</t>
        </is>
      </c>
      <c r="D688" s="207" t="inlineStr">
        <is>
          <t>iPhone Revenue Variance $ -- ASP</t>
        </is>
      </c>
      <c r="E688" s="146">
        <f>'Forecast Bridge'!C31</f>
        <v>2019.40202911798</v>
      </c>
      <c r="F688" s="209" t="inlineStr">
        <is>
          <t>'Forecast Bridge'!C31</t>
        </is>
      </c>
      <c r="G688" s="210" t="inlineStr">
        <is>
          <t>Waterfall B driver sub-attribution: FY26 Q2 real actual-vs-plan segment $ variance (Forecast Bridge F31:F35) split into Units/ASP/FX/Mix per Forecast Bridge's own weight-based allocation (same caveat as Waterfall A).</t>
        </is>
      </c>
    </row>
    <row r="689">
      <c r="A689" s="207" t="inlineStr">
        <is>
          <t>FY26 Q2</t>
        </is>
      </c>
      <c r="B689" s="207" t="inlineStr">
        <is>
          <t>Q3 Reforecast</t>
        </is>
      </c>
      <c r="C689" s="208" t="inlineStr">
        <is>
          <t>Actual</t>
        </is>
      </c>
      <c r="D689" s="207" t="inlineStr">
        <is>
          <t>iPhone Revenue Variance $ -- FX</t>
        </is>
      </c>
      <c r="E689" s="146">
        <f>'Forecast Bridge'!D31</f>
        <v>0</v>
      </c>
      <c r="F689" s="209" t="inlineStr">
        <is>
          <t>'Forecast Bridge'!D31</t>
        </is>
      </c>
      <c r="G689" s="210" t="inlineStr">
        <is>
          <t>Waterfall B driver sub-attribution: FY26 Q2 real actual-vs-plan segment $ variance (Forecast Bridge F31:F35) split into Units/ASP/FX/Mix per Forecast Bridge's own weight-based allocation (same caveat as Waterfall A).</t>
        </is>
      </c>
    </row>
    <row r="690">
      <c r="A690" s="207" t="inlineStr">
        <is>
          <t>FY26 Q2</t>
        </is>
      </c>
      <c r="B690" s="207" t="inlineStr">
        <is>
          <t>Q3 Reforecast</t>
        </is>
      </c>
      <c r="C690" s="208" t="inlineStr">
        <is>
          <t>Actual</t>
        </is>
      </c>
      <c r="D690" s="207" t="inlineStr">
        <is>
          <t>iPhone Revenue Variance $ -- Mix</t>
        </is>
      </c>
      <c r="E690" s="146">
        <f>'Forecast Bridge'!E31</f>
        <v>0</v>
      </c>
      <c r="F690" s="209" t="inlineStr">
        <is>
          <t>'Forecast Bridge'!E31</t>
        </is>
      </c>
      <c r="G690" s="210" t="inlineStr">
        <is>
          <t>Waterfall B driver sub-attribution: FY26 Q2 real actual-vs-plan segment $ variance (Forecast Bridge F31:F35) split into Units/ASP/FX/Mix per Forecast Bridge's own weight-based allocation (same caveat as Waterfall A).</t>
        </is>
      </c>
    </row>
    <row r="691">
      <c r="A691" s="207" t="inlineStr">
        <is>
          <t>FY26 Q2</t>
        </is>
      </c>
      <c r="B691" s="207" t="inlineStr">
        <is>
          <t>Q3 Reforecast</t>
        </is>
      </c>
      <c r="C691" s="208" t="inlineStr">
        <is>
          <t>Actual</t>
        </is>
      </c>
      <c r="D691" s="207" t="inlineStr">
        <is>
          <t>Mac Revenue Variance $ -- Units</t>
        </is>
      </c>
      <c r="E691" s="146">
        <f>'Forecast Bridge'!B32</f>
        <v>388.246537379542</v>
      </c>
      <c r="F691" s="209" t="inlineStr">
        <is>
          <t>'Forecast Bridge'!B32</t>
        </is>
      </c>
      <c r="G691" s="210" t="inlineStr">
        <is>
          <t>Waterfall B driver sub-attribution: FY26 Q2 real actual-vs-plan segment $ variance (Forecast Bridge F31:F35) split into Units/ASP/FX/Mix per Forecast Bridge's own weight-based allocation (same caveat as Waterfall A).</t>
        </is>
      </c>
    </row>
    <row r="692">
      <c r="A692" s="207" t="inlineStr">
        <is>
          <t>FY26 Q2</t>
        </is>
      </c>
      <c r="B692" s="207" t="inlineStr">
        <is>
          <t>Q3 Reforecast</t>
        </is>
      </c>
      <c r="C692" s="208" t="inlineStr">
        <is>
          <t>Actual</t>
        </is>
      </c>
      <c r="D692" s="207" t="inlineStr">
        <is>
          <t>Mac Revenue Variance $ -- ASP</t>
        </is>
      </c>
      <c r="E692" s="146">
        <f>'Forecast Bridge'!C32</f>
        <v>194.123268689771</v>
      </c>
      <c r="F692" s="209" t="inlineStr">
        <is>
          <t>'Forecast Bridge'!C32</t>
        </is>
      </c>
      <c r="G692" s="210" t="inlineStr">
        <is>
          <t>Waterfall B driver sub-attribution: FY26 Q2 real actual-vs-plan segment $ variance (Forecast Bridge F31:F35) split into Units/ASP/FX/Mix per Forecast Bridge's own weight-based allocation (same caveat as Waterfall A).</t>
        </is>
      </c>
    </row>
    <row r="693">
      <c r="A693" s="207" t="inlineStr">
        <is>
          <t>FY26 Q2</t>
        </is>
      </c>
      <c r="B693" s="207" t="inlineStr">
        <is>
          <t>Q3 Reforecast</t>
        </is>
      </c>
      <c r="C693" s="208" t="inlineStr">
        <is>
          <t>Actual</t>
        </is>
      </c>
      <c r="D693" s="207" t="inlineStr">
        <is>
          <t>Mac Revenue Variance $ -- FX</t>
        </is>
      </c>
      <c r="E693" s="146">
        <f>'Forecast Bridge'!D32</f>
        <v>0</v>
      </c>
      <c r="F693" s="209" t="inlineStr">
        <is>
          <t>'Forecast Bridge'!D32</t>
        </is>
      </c>
      <c r="G693" s="210" t="inlineStr">
        <is>
          <t>Waterfall B driver sub-attribution: FY26 Q2 real actual-vs-plan segment $ variance (Forecast Bridge F31:F35) split into Units/ASP/FX/Mix per Forecast Bridge's own weight-based allocation (same caveat as Waterfall A).</t>
        </is>
      </c>
    </row>
    <row r="694">
      <c r="A694" s="207" t="inlineStr">
        <is>
          <t>FY26 Q2</t>
        </is>
      </c>
      <c r="B694" s="207" t="inlineStr">
        <is>
          <t>Q3 Reforecast</t>
        </is>
      </c>
      <c r="C694" s="208" t="inlineStr">
        <is>
          <t>Actual</t>
        </is>
      </c>
      <c r="D694" s="207" t="inlineStr">
        <is>
          <t>Mac Revenue Variance $ -- Mix</t>
        </is>
      </c>
      <c r="E694" s="146">
        <f>'Forecast Bridge'!E32</f>
        <v>0</v>
      </c>
      <c r="F694" s="209" t="inlineStr">
        <is>
          <t>'Forecast Bridge'!E32</t>
        </is>
      </c>
      <c r="G694" s="210" t="inlineStr">
        <is>
          <t>Waterfall B driver sub-attribution: FY26 Q2 real actual-vs-plan segment $ variance (Forecast Bridge F31:F35) split into Units/ASP/FX/Mix per Forecast Bridge's own weight-based allocation (same caveat as Waterfall A).</t>
        </is>
      </c>
    </row>
    <row r="695">
      <c r="A695" s="207" t="inlineStr">
        <is>
          <t>FY26 Q2</t>
        </is>
      </c>
      <c r="B695" s="207" t="inlineStr">
        <is>
          <t>Q3 Reforecast</t>
        </is>
      </c>
      <c r="C695" s="208" t="inlineStr">
        <is>
          <t>Actual</t>
        </is>
      </c>
      <c r="D695" s="207" t="inlineStr">
        <is>
          <t>iPad Revenue Variance $ -- Units</t>
        </is>
      </c>
      <c r="E695" s="146">
        <f>'Forecast Bridge'!B33</f>
        <v>187.151963566714</v>
      </c>
      <c r="F695" s="209" t="inlineStr">
        <is>
          <t>'Forecast Bridge'!B33</t>
        </is>
      </c>
      <c r="G695" s="210" t="inlineStr">
        <is>
          <t>Waterfall B driver sub-attribution: FY26 Q2 real actual-vs-plan segment $ variance (Forecast Bridge F31:F35) split into Units/ASP/FX/Mix per Forecast Bridge's own weight-based allocation (same caveat as Waterfall A).</t>
        </is>
      </c>
    </row>
    <row r="696">
      <c r="A696" s="207" t="inlineStr">
        <is>
          <t>FY26 Q2</t>
        </is>
      </c>
      <c r="B696" s="207" t="inlineStr">
        <is>
          <t>Q3 Reforecast</t>
        </is>
      </c>
      <c r="C696" s="208" t="inlineStr">
        <is>
          <t>Actual</t>
        </is>
      </c>
      <c r="D696" s="207" t="inlineStr">
        <is>
          <t>iPad Revenue Variance $ -- ASP</t>
        </is>
      </c>
      <c r="E696" s="146">
        <f>'Forecast Bridge'!C33</f>
        <v>280.727945350071</v>
      </c>
      <c r="F696" s="209" t="inlineStr">
        <is>
          <t>'Forecast Bridge'!C33</t>
        </is>
      </c>
      <c r="G696" s="210" t="inlineStr">
        <is>
          <t>Waterfall B driver sub-attribution: FY26 Q2 real actual-vs-plan segment $ variance (Forecast Bridge F31:F35) split into Units/ASP/FX/Mix per Forecast Bridge's own weight-based allocation (same caveat as Waterfall A).</t>
        </is>
      </c>
    </row>
    <row r="697">
      <c r="A697" s="207" t="inlineStr">
        <is>
          <t>FY26 Q2</t>
        </is>
      </c>
      <c r="B697" s="207" t="inlineStr">
        <is>
          <t>Q3 Reforecast</t>
        </is>
      </c>
      <c r="C697" s="208" t="inlineStr">
        <is>
          <t>Actual</t>
        </is>
      </c>
      <c r="D697" s="207" t="inlineStr">
        <is>
          <t>iPad Revenue Variance $ -- FX</t>
        </is>
      </c>
      <c r="E697" s="146">
        <f>'Forecast Bridge'!D33</f>
        <v>0</v>
      </c>
      <c r="F697" s="209" t="inlineStr">
        <is>
          <t>'Forecast Bridge'!D33</t>
        </is>
      </c>
      <c r="G697" s="210" t="inlineStr">
        <is>
          <t>Waterfall B driver sub-attribution: FY26 Q2 real actual-vs-plan segment $ variance (Forecast Bridge F31:F35) split into Units/ASP/FX/Mix per Forecast Bridge's own weight-based allocation (same caveat as Waterfall A).</t>
        </is>
      </c>
    </row>
    <row r="698">
      <c r="A698" s="207" t="inlineStr">
        <is>
          <t>FY26 Q2</t>
        </is>
      </c>
      <c r="B698" s="207" t="inlineStr">
        <is>
          <t>Q3 Reforecast</t>
        </is>
      </c>
      <c r="C698" s="208" t="inlineStr">
        <is>
          <t>Actual</t>
        </is>
      </c>
      <c r="D698" s="207" t="inlineStr">
        <is>
          <t>iPad Revenue Variance $ -- Mix</t>
        </is>
      </c>
      <c r="E698" s="146">
        <f>'Forecast Bridge'!E33</f>
        <v>0</v>
      </c>
      <c r="F698" s="209" t="inlineStr">
        <is>
          <t>'Forecast Bridge'!E33</t>
        </is>
      </c>
      <c r="G698" s="210" t="inlineStr">
        <is>
          <t>Waterfall B driver sub-attribution: FY26 Q2 real actual-vs-plan segment $ variance (Forecast Bridge F31:F35) split into Units/ASP/FX/Mix per Forecast Bridge's own weight-based allocation (same caveat as Waterfall A).</t>
        </is>
      </c>
    </row>
    <row r="699">
      <c r="A699" s="207" t="inlineStr">
        <is>
          <t>FY26 Q2</t>
        </is>
      </c>
      <c r="B699" s="207" t="inlineStr">
        <is>
          <t>Q3 Reforecast</t>
        </is>
      </c>
      <c r="C699" s="208" t="inlineStr">
        <is>
          <t>Actual</t>
        </is>
      </c>
      <c r="D699" s="207" t="inlineStr">
        <is>
          <t>Wearables Revenue Variance $ -- Units</t>
        </is>
      </c>
      <c r="E699" s="146">
        <f>'Forecast Bridge'!B34</f>
        <v>290.574030679378</v>
      </c>
      <c r="F699" s="209" t="inlineStr">
        <is>
          <t>'Forecast Bridge'!B34</t>
        </is>
      </c>
      <c r="G699" s="210" t="inlineStr">
        <is>
          <t>Waterfall B driver sub-attribution: FY26 Q2 real actual-vs-plan segment $ variance (Forecast Bridge F31:F35) split into Units/ASP/FX/Mix per Forecast Bridge's own weight-based allocation (same caveat as Waterfall A).</t>
        </is>
      </c>
    </row>
    <row r="700">
      <c r="A700" s="207" t="inlineStr">
        <is>
          <t>FY26 Q2</t>
        </is>
      </c>
      <c r="B700" s="207" t="inlineStr">
        <is>
          <t>Q3 Reforecast</t>
        </is>
      </c>
      <c r="C700" s="208" t="inlineStr">
        <is>
          <t>Actual</t>
        </is>
      </c>
      <c r="D700" s="207" t="inlineStr">
        <is>
          <t>Wearables Revenue Variance $ -- ASP</t>
        </is>
      </c>
      <c r="E700" s="146">
        <f>'Forecast Bridge'!C34</f>
        <v>290.574030679378</v>
      </c>
      <c r="F700" s="209" t="inlineStr">
        <is>
          <t>'Forecast Bridge'!C34</t>
        </is>
      </c>
      <c r="G700" s="210" t="inlineStr">
        <is>
          <t>Waterfall B driver sub-attribution: FY26 Q2 real actual-vs-plan segment $ variance (Forecast Bridge F31:F35) split into Units/ASP/FX/Mix per Forecast Bridge's own weight-based allocation (same caveat as Waterfall A).</t>
        </is>
      </c>
    </row>
    <row r="701">
      <c r="A701" s="207" t="inlineStr">
        <is>
          <t>FY26 Q2</t>
        </is>
      </c>
      <c r="B701" s="207" t="inlineStr">
        <is>
          <t>Q3 Reforecast</t>
        </is>
      </c>
      <c r="C701" s="208" t="inlineStr">
        <is>
          <t>Actual</t>
        </is>
      </c>
      <c r="D701" s="207" t="inlineStr">
        <is>
          <t>Wearables Revenue Variance $ -- FX</t>
        </is>
      </c>
      <c r="E701" s="146">
        <f>'Forecast Bridge'!D34</f>
        <v>0</v>
      </c>
      <c r="F701" s="209" t="inlineStr">
        <is>
          <t>'Forecast Bridge'!D34</t>
        </is>
      </c>
      <c r="G701" s="210" t="inlineStr">
        <is>
          <t>Waterfall B driver sub-attribution: FY26 Q2 real actual-vs-plan segment $ variance (Forecast Bridge F31:F35) split into Units/ASP/FX/Mix per Forecast Bridge's own weight-based allocation (same caveat as Waterfall A).</t>
        </is>
      </c>
    </row>
    <row r="702">
      <c r="A702" s="207" t="inlineStr">
        <is>
          <t>FY26 Q2</t>
        </is>
      </c>
      <c r="B702" s="207" t="inlineStr">
        <is>
          <t>Q3 Reforecast</t>
        </is>
      </c>
      <c r="C702" s="208" t="inlineStr">
        <is>
          <t>Actual</t>
        </is>
      </c>
      <c r="D702" s="207" t="inlineStr">
        <is>
          <t>Wearables Revenue Variance $ -- Mix</t>
        </is>
      </c>
      <c r="E702" s="146">
        <f>'Forecast Bridge'!E34</f>
        <v>0</v>
      </c>
      <c r="F702" s="209" t="inlineStr">
        <is>
          <t>'Forecast Bridge'!E34</t>
        </is>
      </c>
      <c r="G702" s="210" t="inlineStr">
        <is>
          <t>Waterfall B driver sub-attribution: FY26 Q2 real actual-vs-plan segment $ variance (Forecast Bridge F31:F35) split into Units/ASP/FX/Mix per Forecast Bridge's own weight-based allocation (same caveat as Waterfall A).</t>
        </is>
      </c>
    </row>
    <row r="703">
      <c r="A703" s="207" t="inlineStr">
        <is>
          <t>FY26 Q2</t>
        </is>
      </c>
      <c r="B703" s="207" t="inlineStr">
        <is>
          <t>Q3 Reforecast</t>
        </is>
      </c>
      <c r="C703" s="208" t="inlineStr">
        <is>
          <t>Actual</t>
        </is>
      </c>
      <c r="D703" s="207" t="inlineStr">
        <is>
          <t>Services Revenue Variance $ -- Units</t>
        </is>
      </c>
      <c r="E703" s="146">
        <f>'Forecast Bridge'!B35</f>
        <v>1204.02897251555</v>
      </c>
      <c r="F703" s="209" t="inlineStr">
        <is>
          <t>'Forecast Bridge'!B35</t>
        </is>
      </c>
      <c r="G703" s="210" t="inlineStr">
        <is>
          <t>Waterfall B driver sub-attribution: FY26 Q2 real actual-vs-plan segment $ variance (Forecast Bridge F31:F35) split into Units/ASP/FX/Mix per Forecast Bridge's own weight-based allocation (same caveat as Waterfall A).</t>
        </is>
      </c>
    </row>
    <row r="704">
      <c r="A704" s="207" t="inlineStr">
        <is>
          <t>FY26 Q2</t>
        </is>
      </c>
      <c r="B704" s="207" t="inlineStr">
        <is>
          <t>Q3 Reforecast</t>
        </is>
      </c>
      <c r="C704" s="208" t="inlineStr">
        <is>
          <t>Actual</t>
        </is>
      </c>
      <c r="D704" s="207" t="inlineStr">
        <is>
          <t>Services Revenue Variance $ -- ASP</t>
        </is>
      </c>
      <c r="E704" s="146">
        <f>'Forecast Bridge'!C35</f>
        <v>802.68598167703</v>
      </c>
      <c r="F704" s="209" t="inlineStr">
        <is>
          <t>'Forecast Bridge'!C35</t>
        </is>
      </c>
      <c r="G704" s="210" t="inlineStr">
        <is>
          <t>Waterfall B driver sub-attribution: FY26 Q2 real actual-vs-plan segment $ variance (Forecast Bridge F31:F35) split into Units/ASP/FX/Mix per Forecast Bridge's own weight-based allocation (same caveat as Waterfall A).</t>
        </is>
      </c>
    </row>
    <row r="705">
      <c r="A705" s="207" t="inlineStr">
        <is>
          <t>FY26 Q2</t>
        </is>
      </c>
      <c r="B705" s="207" t="inlineStr">
        <is>
          <t>Q3 Reforecast</t>
        </is>
      </c>
      <c r="C705" s="208" t="inlineStr">
        <is>
          <t>Actual</t>
        </is>
      </c>
      <c r="D705" s="207" t="inlineStr">
        <is>
          <t>Services Revenue Variance $ -- FX</t>
        </is>
      </c>
      <c r="E705" s="146">
        <f>'Forecast Bridge'!D35</f>
        <v>0</v>
      </c>
      <c r="F705" s="209" t="inlineStr">
        <is>
          <t>'Forecast Bridge'!D35</t>
        </is>
      </c>
      <c r="G705" s="210" t="inlineStr">
        <is>
          <t>Waterfall B driver sub-attribution: FY26 Q2 real actual-vs-plan segment $ variance (Forecast Bridge F31:F35) split into Units/ASP/FX/Mix per Forecast Bridge's own weight-based allocation (same caveat as Waterfall A).</t>
        </is>
      </c>
    </row>
    <row r="706">
      <c r="A706" s="207" t="inlineStr">
        <is>
          <t>FY26 Q2</t>
        </is>
      </c>
      <c r="B706" s="207" t="inlineStr">
        <is>
          <t>Q3 Reforecast</t>
        </is>
      </c>
      <c r="C706" s="208" t="inlineStr">
        <is>
          <t>Actual</t>
        </is>
      </c>
      <c r="D706" s="207" t="inlineStr">
        <is>
          <t>Services Revenue Variance $ -- Mix</t>
        </is>
      </c>
      <c r="E706" s="146">
        <f>'Forecast Bridge'!E35</f>
        <v>0</v>
      </c>
      <c r="F706" s="209" t="inlineStr">
        <is>
          <t>'Forecast Bridge'!E35</t>
        </is>
      </c>
      <c r="G706" s="210" t="inlineStr">
        <is>
          <t>Waterfall B driver sub-attribution: FY26 Q2 real actual-vs-plan segment $ variance (Forecast Bridge F31:F35) split into Units/ASP/FX/Mix per Forecast Bridge's own weight-based allocation (same caveat as Waterfall A).</t>
        </is>
      </c>
    </row>
    <row r="707">
      <c r="A707" s="207" t="inlineStr">
        <is>
          <t>FY26 Q3-Q4</t>
        </is>
      </c>
      <c r="B707" s="207" t="inlineStr">
        <is>
          <t>Q3 Reforecast</t>
        </is>
      </c>
      <c r="C707" s="208" t="inlineStr">
        <is>
          <t>Base</t>
        </is>
      </c>
      <c r="D707" s="207" t="inlineStr">
        <is>
          <t>iPhone Revenue Variance $ -- Units</t>
        </is>
      </c>
      <c r="E707" s="146">
        <f>'Forecast Bridge'!B42</f>
        <v>707.524794699923</v>
      </c>
      <c r="F707" s="209" t="inlineStr">
        <is>
          <t>'Forecast Bridge'!B42</t>
        </is>
      </c>
      <c r="G707" s="210" t="inlineStr">
        <is>
          <t>Waterfall C driver sub-attribution: Q3 Reforecast's own Q3+Q4 forecast revision vs. Q1 Forecast Update's own Q3+Q4 forecast (Forecast Bridge F42:F46) split into Units/ASP/FX/Mix per Forecast Bridge's own weight-based allocation (same caveat as Waterfall A); a forecast revision, not an actual-vs-plan variance.</t>
        </is>
      </c>
    </row>
    <row r="708">
      <c r="A708" s="207" t="inlineStr">
        <is>
          <t>FY26 Q3-Q4</t>
        </is>
      </c>
      <c r="B708" s="207" t="inlineStr">
        <is>
          <t>Q3 Reforecast</t>
        </is>
      </c>
      <c r="C708" s="208" t="inlineStr">
        <is>
          <t>Base</t>
        </is>
      </c>
      <c r="D708" s="207" t="inlineStr">
        <is>
          <t>iPhone Revenue Variance $ -- ASP</t>
        </is>
      </c>
      <c r="E708" s="146">
        <f>'Forecast Bridge'!C42</f>
        <v>943.366392933231</v>
      </c>
      <c r="F708" s="209" t="inlineStr">
        <is>
          <t>'Forecast Bridge'!C42</t>
        </is>
      </c>
      <c r="G708" s="210" t="inlineStr">
        <is>
          <t>Waterfall C driver sub-attribution: Q3 Reforecast's own Q3+Q4 forecast revision vs. Q1 Forecast Update's own Q3+Q4 forecast (Forecast Bridge F42:F46) split into Units/ASP/FX/Mix per Forecast Bridge's own weight-based allocation (same caveat as Waterfall A); a forecast revision, not an actual-vs-plan variance.</t>
        </is>
      </c>
    </row>
    <row r="709">
      <c r="A709" s="207" t="inlineStr">
        <is>
          <t>FY26 Q3-Q4</t>
        </is>
      </c>
      <c r="B709" s="207" t="inlineStr">
        <is>
          <t>Q3 Reforecast</t>
        </is>
      </c>
      <c r="C709" s="208" t="inlineStr">
        <is>
          <t>Base</t>
        </is>
      </c>
      <c r="D709" s="207" t="inlineStr">
        <is>
          <t>iPhone Revenue Variance $ -- FX</t>
        </is>
      </c>
      <c r="E709" s="146">
        <f>'Forecast Bridge'!D42</f>
        <v>0</v>
      </c>
      <c r="F709" s="209" t="inlineStr">
        <is>
          <t>'Forecast Bridge'!D42</t>
        </is>
      </c>
      <c r="G709" s="210" t="inlineStr">
        <is>
          <t>Waterfall C driver sub-attribution: Q3 Reforecast's own Q3+Q4 forecast revision vs. Q1 Forecast Update's own Q3+Q4 forecast (Forecast Bridge F42:F46) split into Units/ASP/FX/Mix per Forecast Bridge's own weight-based allocation (same caveat as Waterfall A); a forecast revision, not an actual-vs-plan variance.</t>
        </is>
      </c>
    </row>
    <row r="710">
      <c r="A710" s="207" t="inlineStr">
        <is>
          <t>FY26 Q3-Q4</t>
        </is>
      </c>
      <c r="B710" s="207" t="inlineStr">
        <is>
          <t>Q3 Reforecast</t>
        </is>
      </c>
      <c r="C710" s="208" t="inlineStr">
        <is>
          <t>Base</t>
        </is>
      </c>
      <c r="D710" s="207" t="inlineStr">
        <is>
          <t>iPhone Revenue Variance $ -- Mix</t>
        </is>
      </c>
      <c r="E710" s="146">
        <f>'Forecast Bridge'!E42</f>
        <v>0</v>
      </c>
      <c r="F710" s="209" t="inlineStr">
        <is>
          <t>'Forecast Bridge'!E42</t>
        </is>
      </c>
      <c r="G710" s="210" t="inlineStr">
        <is>
          <t>Waterfall C driver sub-attribution: Q3 Reforecast's own Q3+Q4 forecast revision vs. Q1 Forecast Update's own Q3+Q4 forecast (Forecast Bridge F42:F46) split into Units/ASP/FX/Mix per Forecast Bridge's own weight-based allocation (same caveat as Waterfall A); a forecast revision, not an actual-vs-plan variance.</t>
        </is>
      </c>
    </row>
    <row r="711">
      <c r="A711" s="207" t="inlineStr">
        <is>
          <t>FY26 Q3-Q4</t>
        </is>
      </c>
      <c r="B711" s="207" t="inlineStr">
        <is>
          <t>Q3 Reforecast</t>
        </is>
      </c>
      <c r="C711" s="208" t="inlineStr">
        <is>
          <t>Base</t>
        </is>
      </c>
      <c r="D711" s="207" t="inlineStr">
        <is>
          <t>Mac Revenue Variance $ -- Units</t>
        </is>
      </c>
      <c r="E711" s="146">
        <f>'Forecast Bridge'!B43</f>
        <v>181.369895768861</v>
      </c>
      <c r="F711" s="209" t="inlineStr">
        <is>
          <t>'Forecast Bridge'!B43</t>
        </is>
      </c>
      <c r="G711" s="210" t="inlineStr">
        <is>
          <t>Waterfall C driver sub-attribution: Q3 Reforecast's own Q3+Q4 forecast revision vs. Q1 Forecast Update's own Q3+Q4 forecast (Forecast Bridge F42:F46) split into Units/ASP/FX/Mix per Forecast Bridge's own weight-based allocation (same caveat as Waterfall A); a forecast revision, not an actual-vs-plan variance.</t>
        </is>
      </c>
    </row>
    <row r="712">
      <c r="A712" s="207" t="inlineStr">
        <is>
          <t>FY26 Q3-Q4</t>
        </is>
      </c>
      <c r="B712" s="207" t="inlineStr">
        <is>
          <t>Q3 Reforecast</t>
        </is>
      </c>
      <c r="C712" s="208" t="inlineStr">
        <is>
          <t>Base</t>
        </is>
      </c>
      <c r="D712" s="207" t="inlineStr">
        <is>
          <t>Mac Revenue Variance $ -- ASP</t>
        </is>
      </c>
      <c r="E712" s="146">
        <f>'Forecast Bridge'!C43</f>
        <v>90.6849478844306</v>
      </c>
      <c r="F712" s="209" t="inlineStr">
        <is>
          <t>'Forecast Bridge'!C43</t>
        </is>
      </c>
      <c r="G712" s="210" t="inlineStr">
        <is>
          <t>Waterfall C driver sub-attribution: Q3 Reforecast's own Q3+Q4 forecast revision vs. Q1 Forecast Update's own Q3+Q4 forecast (Forecast Bridge F42:F46) split into Units/ASP/FX/Mix per Forecast Bridge's own weight-based allocation (same caveat as Waterfall A); a forecast revision, not an actual-vs-plan variance.</t>
        </is>
      </c>
    </row>
    <row r="713">
      <c r="A713" s="207" t="inlineStr">
        <is>
          <t>FY26 Q3-Q4</t>
        </is>
      </c>
      <c r="B713" s="207" t="inlineStr">
        <is>
          <t>Q3 Reforecast</t>
        </is>
      </c>
      <c r="C713" s="208" t="inlineStr">
        <is>
          <t>Base</t>
        </is>
      </c>
      <c r="D713" s="207" t="inlineStr">
        <is>
          <t>Mac Revenue Variance $ -- FX</t>
        </is>
      </c>
      <c r="E713" s="146">
        <f>'Forecast Bridge'!D43</f>
        <v>0</v>
      </c>
      <c r="F713" s="209" t="inlineStr">
        <is>
          <t>'Forecast Bridge'!D43</t>
        </is>
      </c>
      <c r="G713" s="210" t="inlineStr">
        <is>
          <t>Waterfall C driver sub-attribution: Q3 Reforecast's own Q3+Q4 forecast revision vs. Q1 Forecast Update's own Q3+Q4 forecast (Forecast Bridge F42:F46) split into Units/ASP/FX/Mix per Forecast Bridge's own weight-based allocation (same caveat as Waterfall A); a forecast revision, not an actual-vs-plan variance.</t>
        </is>
      </c>
    </row>
    <row r="714">
      <c r="A714" s="207" t="inlineStr">
        <is>
          <t>FY26 Q3-Q4</t>
        </is>
      </c>
      <c r="B714" s="207" t="inlineStr">
        <is>
          <t>Q3 Reforecast</t>
        </is>
      </c>
      <c r="C714" s="208" t="inlineStr">
        <is>
          <t>Base</t>
        </is>
      </c>
      <c r="D714" s="207" t="inlineStr">
        <is>
          <t>Mac Revenue Variance $ -- Mix</t>
        </is>
      </c>
      <c r="E714" s="146">
        <f>'Forecast Bridge'!E43</f>
        <v>0</v>
      </c>
      <c r="F714" s="209" t="inlineStr">
        <is>
          <t>'Forecast Bridge'!E43</t>
        </is>
      </c>
      <c r="G714" s="210" t="inlineStr">
        <is>
          <t>Waterfall C driver sub-attribution: Q3 Reforecast's own Q3+Q4 forecast revision vs. Q1 Forecast Update's own Q3+Q4 forecast (Forecast Bridge F42:F46) split into Units/ASP/FX/Mix per Forecast Bridge's own weight-based allocation (same caveat as Waterfall A); a forecast revision, not an actual-vs-plan variance.</t>
        </is>
      </c>
    </row>
    <row r="715">
      <c r="A715" s="207" t="inlineStr">
        <is>
          <t>FY26 Q3-Q4</t>
        </is>
      </c>
      <c r="B715" s="207" t="inlineStr">
        <is>
          <t>Q3 Reforecast</t>
        </is>
      </c>
      <c r="C715" s="208" t="inlineStr">
        <is>
          <t>Base</t>
        </is>
      </c>
      <c r="D715" s="207" t="inlineStr">
        <is>
          <t>iPad Revenue Variance $ -- Units</t>
        </is>
      </c>
      <c r="E715" s="146">
        <f>'Forecast Bridge'!B44</f>
        <v>87.4282932544222</v>
      </c>
      <c r="F715" s="209" t="inlineStr">
        <is>
          <t>'Forecast Bridge'!B44</t>
        </is>
      </c>
      <c r="G715" s="210" t="inlineStr">
        <is>
          <t>Waterfall C driver sub-attribution: Q3 Reforecast's own Q3+Q4 forecast revision vs. Q1 Forecast Update's own Q3+Q4 forecast (Forecast Bridge F42:F46) split into Units/ASP/FX/Mix per Forecast Bridge's own weight-based allocation (same caveat as Waterfall A); a forecast revision, not an actual-vs-plan variance.</t>
        </is>
      </c>
    </row>
    <row r="716">
      <c r="A716" s="207" t="inlineStr">
        <is>
          <t>FY26 Q3-Q4</t>
        </is>
      </c>
      <c r="B716" s="207" t="inlineStr">
        <is>
          <t>Q3 Reforecast</t>
        </is>
      </c>
      <c r="C716" s="208" t="inlineStr">
        <is>
          <t>Base</t>
        </is>
      </c>
      <c r="D716" s="207" t="inlineStr">
        <is>
          <t>iPad Revenue Variance $ -- ASP</t>
        </is>
      </c>
      <c r="E716" s="146">
        <f>'Forecast Bridge'!C44</f>
        <v>131.142439881633</v>
      </c>
      <c r="F716" s="209" t="inlineStr">
        <is>
          <t>'Forecast Bridge'!C44</t>
        </is>
      </c>
      <c r="G716" s="210" t="inlineStr">
        <is>
          <t>Waterfall C driver sub-attribution: Q3 Reforecast's own Q3+Q4 forecast revision vs. Q1 Forecast Update's own Q3+Q4 forecast (Forecast Bridge F42:F46) split into Units/ASP/FX/Mix per Forecast Bridge's own weight-based allocation (same caveat as Waterfall A); a forecast revision, not an actual-vs-plan variance.</t>
        </is>
      </c>
    </row>
    <row r="717">
      <c r="A717" s="207" t="inlineStr">
        <is>
          <t>FY26 Q3-Q4</t>
        </is>
      </c>
      <c r="B717" s="207" t="inlineStr">
        <is>
          <t>Q3 Reforecast</t>
        </is>
      </c>
      <c r="C717" s="208" t="inlineStr">
        <is>
          <t>Base</t>
        </is>
      </c>
      <c r="D717" s="207" t="inlineStr">
        <is>
          <t>iPad Revenue Variance $ -- FX</t>
        </is>
      </c>
      <c r="E717" s="146">
        <f>'Forecast Bridge'!D44</f>
        <v>0</v>
      </c>
      <c r="F717" s="209" t="inlineStr">
        <is>
          <t>'Forecast Bridge'!D44</t>
        </is>
      </c>
      <c r="G717" s="210" t="inlineStr">
        <is>
          <t>Waterfall C driver sub-attribution: Q3 Reforecast's own Q3+Q4 forecast revision vs. Q1 Forecast Update's own Q3+Q4 forecast (Forecast Bridge F42:F46) split into Units/ASP/FX/Mix per Forecast Bridge's own weight-based allocation (same caveat as Waterfall A); a forecast revision, not an actual-vs-plan variance.</t>
        </is>
      </c>
    </row>
    <row r="718">
      <c r="A718" s="207" t="inlineStr">
        <is>
          <t>FY26 Q3-Q4</t>
        </is>
      </c>
      <c r="B718" s="207" t="inlineStr">
        <is>
          <t>Q3 Reforecast</t>
        </is>
      </c>
      <c r="C718" s="208" t="inlineStr">
        <is>
          <t>Base</t>
        </is>
      </c>
      <c r="D718" s="207" t="inlineStr">
        <is>
          <t>iPad Revenue Variance $ -- Mix</t>
        </is>
      </c>
      <c r="E718" s="146">
        <f>'Forecast Bridge'!E44</f>
        <v>0</v>
      </c>
      <c r="F718" s="209" t="inlineStr">
        <is>
          <t>'Forecast Bridge'!E44</t>
        </is>
      </c>
      <c r="G718" s="210" t="inlineStr">
        <is>
          <t>Waterfall C driver sub-attribution: Q3 Reforecast's own Q3+Q4 forecast revision vs. Q1 Forecast Update's own Q3+Q4 forecast (Forecast Bridge F42:F46) split into Units/ASP/FX/Mix per Forecast Bridge's own weight-based allocation (same caveat as Waterfall A); a forecast revision, not an actual-vs-plan variance.</t>
        </is>
      </c>
    </row>
    <row r="719">
      <c r="A719" s="207" t="inlineStr">
        <is>
          <t>FY26 Q3-Q4</t>
        </is>
      </c>
      <c r="B719" s="207" t="inlineStr">
        <is>
          <t>Q3 Reforecast</t>
        </is>
      </c>
      <c r="C719" s="208" t="inlineStr">
        <is>
          <t>Base</t>
        </is>
      </c>
      <c r="D719" s="207" t="inlineStr">
        <is>
          <t>Wearables Revenue Variance $ -- Units</t>
        </is>
      </c>
      <c r="E719" s="146">
        <f>'Forecast Bridge'!B45</f>
        <v>135.742051978526</v>
      </c>
      <c r="F719" s="209" t="inlineStr">
        <is>
          <t>'Forecast Bridge'!B45</t>
        </is>
      </c>
      <c r="G719" s="210" t="inlineStr">
        <is>
          <t>Waterfall C driver sub-attribution: Q3 Reforecast's own Q3+Q4 forecast revision vs. Q1 Forecast Update's own Q3+Q4 forecast (Forecast Bridge F42:F46) split into Units/ASP/FX/Mix per Forecast Bridge's own weight-based allocation (same caveat as Waterfall A); a forecast revision, not an actual-vs-plan variance.</t>
        </is>
      </c>
    </row>
    <row r="720">
      <c r="A720" s="207" t="inlineStr">
        <is>
          <t>FY26 Q3-Q4</t>
        </is>
      </c>
      <c r="B720" s="207" t="inlineStr">
        <is>
          <t>Q3 Reforecast</t>
        </is>
      </c>
      <c r="C720" s="208" t="inlineStr">
        <is>
          <t>Base</t>
        </is>
      </c>
      <c r="D720" s="207" t="inlineStr">
        <is>
          <t>Wearables Revenue Variance $ -- ASP</t>
        </is>
      </c>
      <c r="E720" s="146">
        <f>'Forecast Bridge'!C45</f>
        <v>135.742051978526</v>
      </c>
      <c r="F720" s="209" t="inlineStr">
        <is>
          <t>'Forecast Bridge'!C45</t>
        </is>
      </c>
      <c r="G720" s="210" t="inlineStr">
        <is>
          <t>Waterfall C driver sub-attribution: Q3 Reforecast's own Q3+Q4 forecast revision vs. Q1 Forecast Update's own Q3+Q4 forecast (Forecast Bridge F42:F46) split into Units/ASP/FX/Mix per Forecast Bridge's own weight-based allocation (same caveat as Waterfall A); a forecast revision, not an actual-vs-plan variance.</t>
        </is>
      </c>
    </row>
    <row r="721">
      <c r="A721" s="207" t="inlineStr">
        <is>
          <t>FY26 Q3-Q4</t>
        </is>
      </c>
      <c r="B721" s="207" t="inlineStr">
        <is>
          <t>Q3 Reforecast</t>
        </is>
      </c>
      <c r="C721" s="208" t="inlineStr">
        <is>
          <t>Base</t>
        </is>
      </c>
      <c r="D721" s="207" t="inlineStr">
        <is>
          <t>Wearables Revenue Variance $ -- FX</t>
        </is>
      </c>
      <c r="E721" s="146">
        <f>'Forecast Bridge'!D45</f>
        <v>0</v>
      </c>
      <c r="F721" s="209" t="inlineStr">
        <is>
          <t>'Forecast Bridge'!D45</t>
        </is>
      </c>
      <c r="G721" s="210" t="inlineStr">
        <is>
          <t>Waterfall C driver sub-attribution: Q3 Reforecast's own Q3+Q4 forecast revision vs. Q1 Forecast Update's own Q3+Q4 forecast (Forecast Bridge F42:F46) split into Units/ASP/FX/Mix per Forecast Bridge's own weight-based allocation (same caveat as Waterfall A); a forecast revision, not an actual-vs-plan variance.</t>
        </is>
      </c>
    </row>
    <row r="722">
      <c r="A722" s="207" t="inlineStr">
        <is>
          <t>FY26 Q3-Q4</t>
        </is>
      </c>
      <c r="B722" s="207" t="inlineStr">
        <is>
          <t>Q3 Reforecast</t>
        </is>
      </c>
      <c r="C722" s="208" t="inlineStr">
        <is>
          <t>Base</t>
        </is>
      </c>
      <c r="D722" s="207" t="inlineStr">
        <is>
          <t>Wearables Revenue Variance $ -- Mix</t>
        </is>
      </c>
      <c r="E722" s="146">
        <f>'Forecast Bridge'!E45</f>
        <v>0</v>
      </c>
      <c r="F722" s="209" t="inlineStr">
        <is>
          <t>'Forecast Bridge'!E45</t>
        </is>
      </c>
      <c r="G722" s="210" t="inlineStr">
        <is>
          <t>Waterfall C driver sub-attribution: Q3 Reforecast's own Q3+Q4 forecast revision vs. Q1 Forecast Update's own Q3+Q4 forecast (Forecast Bridge F42:F46) split into Units/ASP/FX/Mix per Forecast Bridge's own weight-based allocation (same caveat as Waterfall A); a forecast revision, not an actual-vs-plan variance.</t>
        </is>
      </c>
    </row>
    <row r="723">
      <c r="A723" s="207" t="inlineStr">
        <is>
          <t>FY26 Q3-Q4</t>
        </is>
      </c>
      <c r="B723" s="207" t="inlineStr">
        <is>
          <t>Q3 Reforecast</t>
        </is>
      </c>
      <c r="C723" s="208" t="inlineStr">
        <is>
          <t>Base</t>
        </is>
      </c>
      <c r="D723" s="207" t="inlineStr">
        <is>
          <t>Services Revenue Variance $ -- Units</t>
        </is>
      </c>
      <c r="E723" s="146">
        <f>'Forecast Bridge'!B46</f>
        <v>562.463765219248</v>
      </c>
      <c r="F723" s="209" t="inlineStr">
        <is>
          <t>'Forecast Bridge'!B46</t>
        </is>
      </c>
      <c r="G723" s="210" t="inlineStr">
        <is>
          <t>Waterfall C driver sub-attribution: Q3 Reforecast's own Q3+Q4 forecast revision vs. Q1 Forecast Update's own Q3+Q4 forecast (Forecast Bridge F42:F46) split into Units/ASP/FX/Mix per Forecast Bridge's own weight-based allocation (same caveat as Waterfall A); a forecast revision, not an actual-vs-plan variance.</t>
        </is>
      </c>
    </row>
    <row r="724">
      <c r="A724" s="207" t="inlineStr">
        <is>
          <t>FY26 Q3-Q4</t>
        </is>
      </c>
      <c r="B724" s="207" t="inlineStr">
        <is>
          <t>Q3 Reforecast</t>
        </is>
      </c>
      <c r="C724" s="208" t="inlineStr">
        <is>
          <t>Base</t>
        </is>
      </c>
      <c r="D724" s="207" t="inlineStr">
        <is>
          <t>Services Revenue Variance $ -- ASP</t>
        </is>
      </c>
      <c r="E724" s="146">
        <f>'Forecast Bridge'!C46</f>
        <v>374.975843479499</v>
      </c>
      <c r="F724" s="209" t="inlineStr">
        <is>
          <t>'Forecast Bridge'!C46</t>
        </is>
      </c>
      <c r="G724" s="210" t="inlineStr">
        <is>
          <t>Waterfall C driver sub-attribution: Q3 Reforecast's own Q3+Q4 forecast revision vs. Q1 Forecast Update's own Q3+Q4 forecast (Forecast Bridge F42:F46) split into Units/ASP/FX/Mix per Forecast Bridge's own weight-based allocation (same caveat as Waterfall A); a forecast revision, not an actual-vs-plan variance.</t>
        </is>
      </c>
    </row>
    <row r="725">
      <c r="A725" s="207" t="inlineStr">
        <is>
          <t>FY26 Q3-Q4</t>
        </is>
      </c>
      <c r="B725" s="207" t="inlineStr">
        <is>
          <t>Q3 Reforecast</t>
        </is>
      </c>
      <c r="C725" s="208" t="inlineStr">
        <is>
          <t>Base</t>
        </is>
      </c>
      <c r="D725" s="207" t="inlineStr">
        <is>
          <t>Services Revenue Variance $ -- FX</t>
        </is>
      </c>
      <c r="E725" s="146">
        <f>'Forecast Bridge'!D46</f>
        <v>0</v>
      </c>
      <c r="F725" s="209" t="inlineStr">
        <is>
          <t>'Forecast Bridge'!D46</t>
        </is>
      </c>
      <c r="G725" s="210" t="inlineStr">
        <is>
          <t>Waterfall C driver sub-attribution: Q3 Reforecast's own Q3+Q4 forecast revision vs. Q1 Forecast Update's own Q3+Q4 forecast (Forecast Bridge F42:F46) split into Units/ASP/FX/Mix per Forecast Bridge's own weight-based allocation (same caveat as Waterfall A); a forecast revision, not an actual-vs-plan variance.</t>
        </is>
      </c>
    </row>
    <row r="726">
      <c r="A726" s="207" t="inlineStr">
        <is>
          <t>FY26 Q3-Q4</t>
        </is>
      </c>
      <c r="B726" s="207" t="inlineStr">
        <is>
          <t>Q3 Reforecast</t>
        </is>
      </c>
      <c r="C726" s="208" t="inlineStr">
        <is>
          <t>Base</t>
        </is>
      </c>
      <c r="D726" s="207" t="inlineStr">
        <is>
          <t>Services Revenue Variance $ -- Mix</t>
        </is>
      </c>
      <c r="E726" s="146">
        <f>'Forecast Bridge'!E46</f>
        <v>0</v>
      </c>
      <c r="F726" s="209" t="inlineStr">
        <is>
          <t>'Forecast Bridge'!E46</t>
        </is>
      </c>
      <c r="G726" s="210" t="inlineStr">
        <is>
          <t>Waterfall C driver sub-attribution: Q3 Reforecast's own Q3+Q4 forecast revision vs. Q1 Forecast Update's own Q3+Q4 forecast (Forecast Bridge F42:F46) split into Units/ASP/FX/Mix per Forecast Bridge's own weight-based allocation (same caveat as Waterfall A); a forecast revision, not an actual-vs-plan variance.</t>
        </is>
      </c>
    </row>
    <row r="727">
      <c r="A727" s="211" t="inlineStr">
        <is>
          <t>FY27 Q1</t>
        </is>
      </c>
      <c r="B727" s="211" t="inlineStr">
        <is>
          <t>FY2027 AOP</t>
        </is>
      </c>
      <c r="C727" s="212" t="inlineStr">
        <is>
          <t>Bull</t>
        </is>
      </c>
      <c r="D727" s="211" t="inlineStr">
        <is>
          <t>Revenue</t>
        </is>
      </c>
      <c r="E727" s="213" t="n">
        <v>150758.139716444</v>
      </c>
      <c r="F727" s="214" t="inlineStr">
        <is>
          <t>IS!AF41 (snapshot, Bull)</t>
        </is>
      </c>
      <c r="G727" s="215" t="inlineStr">
        <is>
          <t>STATIC SNAPSHOT -- captured by toggling Drivers!B6='Bull' on a temp copy of this workbook, recalculating, and reading back IS!AF41. This is a LITERAL NUMBER, NOT a live formula -- it will not update if the Drivers tab's Bull column (E/F) is edited later. Re-run scripts/build_output_tab.py to refresh.</t>
        </is>
      </c>
    </row>
    <row r="728">
      <c r="A728" s="211" t="inlineStr">
        <is>
          <t>FY27 Q2</t>
        </is>
      </c>
      <c r="B728" s="211" t="inlineStr">
        <is>
          <t>FY2027 AOP</t>
        </is>
      </c>
      <c r="C728" s="212" t="inlineStr">
        <is>
          <t>Bull</t>
        </is>
      </c>
      <c r="D728" s="211" t="inlineStr">
        <is>
          <t>Revenue</t>
        </is>
      </c>
      <c r="E728" s="213" t="n">
        <v>115031.072009339</v>
      </c>
      <c r="F728" s="214" t="inlineStr">
        <is>
          <t>IS!AG41 (snapshot, Bull)</t>
        </is>
      </c>
      <c r="G728" s="215" t="inlineStr">
        <is>
          <t>STATIC SNAPSHOT -- captured by toggling Drivers!B6='Bull' on a temp copy of this workbook, recalculating, and reading back IS!AG41. This is a LITERAL NUMBER, NOT a live formula -- it will not update if the Drivers tab's Bull column (E/F) is edited later. Re-run scripts/build_output_tab.py to refresh.</t>
        </is>
      </c>
    </row>
    <row r="729">
      <c r="A729" s="211" t="inlineStr">
        <is>
          <t>FY27 Q3</t>
        </is>
      </c>
      <c r="B729" s="211" t="inlineStr">
        <is>
          <t>FY2027 AOP</t>
        </is>
      </c>
      <c r="C729" s="212" t="inlineStr">
        <is>
          <t>Bull</t>
        </is>
      </c>
      <c r="D729" s="211" t="inlineStr">
        <is>
          <t>Revenue</t>
        </is>
      </c>
      <c r="E729" s="213" t="n">
        <v>111064.48485243</v>
      </c>
      <c r="F729" s="214" t="inlineStr">
        <is>
          <t>IS!AH41 (snapshot, Bull)</t>
        </is>
      </c>
      <c r="G729" s="215" t="inlineStr">
        <is>
          <t>STATIC SNAPSHOT -- captured by toggling Drivers!B6='Bull' on a temp copy of this workbook, recalculating, and reading back IS!AH41. This is a LITERAL NUMBER, NOT a live formula -- it will not update if the Drivers tab's Bull column (E/F) is edited later. Re-run scripts/build_output_tab.py to refresh.</t>
        </is>
      </c>
    </row>
    <row r="730">
      <c r="A730" s="211" t="inlineStr">
        <is>
          <t>FY27 Q4</t>
        </is>
      </c>
      <c r="B730" s="211" t="inlineStr">
        <is>
          <t>FY2027 AOP</t>
        </is>
      </c>
      <c r="C730" s="212" t="inlineStr">
        <is>
          <t>Bull</t>
        </is>
      </c>
      <c r="D730" s="211" t="inlineStr">
        <is>
          <t>Revenue</t>
        </is>
      </c>
      <c r="E730" s="213" t="n">
        <v>121954.386934516</v>
      </c>
      <c r="F730" s="214" t="inlineStr">
        <is>
          <t>IS!AI41 (snapshot, Bull)</t>
        </is>
      </c>
      <c r="G730" s="215" t="inlineStr">
        <is>
          <t>STATIC SNAPSHOT -- captured by toggling Drivers!B6='Bull' on a temp copy of this workbook, recalculating, and reading back IS!AI41. This is a LITERAL NUMBER, NOT a live formula -- it will not update if the Drivers tab's Bull column (E/F) is edited later. Re-run scripts/build_output_tab.py to refresh.</t>
        </is>
      </c>
    </row>
    <row r="731">
      <c r="A731" s="211" t="inlineStr">
        <is>
          <t>FY27 Total</t>
        </is>
      </c>
      <c r="B731" s="211" t="inlineStr">
        <is>
          <t>FY2027 AOP</t>
        </is>
      </c>
      <c r="C731" s="212" t="inlineStr">
        <is>
          <t>Bull</t>
        </is>
      </c>
      <c r="D731" s="211" t="inlineStr">
        <is>
          <t>Revenue</t>
        </is>
      </c>
      <c r="E731" s="213" t="n">
        <v>498808.083512729</v>
      </c>
      <c r="F731" s="214" t="inlineStr">
        <is>
          <t>IS!AJ41 (snapshot, Bull)</t>
        </is>
      </c>
      <c r="G731" s="215" t="inlineStr">
        <is>
          <t>STATIC SNAPSHOT -- captured by toggling Drivers!B6='Bull' on a temp copy of this workbook, recalculating, and reading back IS!AJ41. This is a LITERAL NUMBER, NOT a live formula -- it will not update if the Drivers tab's Bull column (E/F) is edited later. Re-run scripts/build_output_tab.py to refresh.</t>
        </is>
      </c>
    </row>
    <row r="732">
      <c r="A732" s="211" t="inlineStr">
        <is>
          <t>FY27 Q1</t>
        </is>
      </c>
      <c r="B732" s="211" t="inlineStr">
        <is>
          <t>FY2027 AOP</t>
        </is>
      </c>
      <c r="C732" s="212" t="inlineStr">
        <is>
          <t>Bull</t>
        </is>
      </c>
      <c r="D732" s="211" t="inlineStr">
        <is>
          <t>Gross Margin $</t>
        </is>
      </c>
      <c r="E732" s="213" t="n">
        <v>74310.846618789</v>
      </c>
      <c r="F732" s="214" t="inlineStr">
        <is>
          <t>IS!AF44 (snapshot, Bull)</t>
        </is>
      </c>
      <c r="G732" s="215" t="inlineStr">
        <is>
          <t>STATIC SNAPSHOT -- captured by toggling Drivers!B6='Bull' on a temp copy of this workbook, recalculating, and reading back IS!AF44. This is a LITERAL NUMBER, NOT a live formula -- it will not update if the Drivers tab's Bull column (E/F) is edited later. Re-run scripts/build_output_tab.py to refresh.</t>
        </is>
      </c>
    </row>
    <row r="733">
      <c r="A733" s="211" t="inlineStr">
        <is>
          <t>FY27 Q2</t>
        </is>
      </c>
      <c r="B733" s="211" t="inlineStr">
        <is>
          <t>FY2027 AOP</t>
        </is>
      </c>
      <c r="C733" s="212" t="inlineStr">
        <is>
          <t>Bull</t>
        </is>
      </c>
      <c r="D733" s="211" t="inlineStr">
        <is>
          <t>Gross Margin $</t>
        </is>
      </c>
      <c r="E733" s="213" t="n">
        <v>56700.4631694092</v>
      </c>
      <c r="F733" s="214" t="inlineStr">
        <is>
          <t>IS!AG44 (snapshot, Bull)</t>
        </is>
      </c>
      <c r="G733" s="215" t="inlineStr">
        <is>
          <t>STATIC SNAPSHOT -- captured by toggling Drivers!B6='Bull' on a temp copy of this workbook, recalculating, and reading back IS!AG44. This is a LITERAL NUMBER, NOT a live formula -- it will not update if the Drivers tab's Bull column (E/F) is edited later. Re-run scripts/build_output_tab.py to refresh.</t>
        </is>
      </c>
    </row>
    <row r="734">
      <c r="A734" s="211" t="inlineStr">
        <is>
          <t>FY27 Q3</t>
        </is>
      </c>
      <c r="B734" s="211" t="inlineStr">
        <is>
          <t>FY2027 AOP</t>
        </is>
      </c>
      <c r="C734" s="212" t="inlineStr">
        <is>
          <t>Bull</t>
        </is>
      </c>
      <c r="D734" s="211" t="inlineStr">
        <is>
          <t>Gross Margin $</t>
        </is>
      </c>
      <c r="E734" s="213" t="n">
        <v>54745.275539928</v>
      </c>
      <c r="F734" s="214" t="inlineStr">
        <is>
          <t>IS!AH44 (snapshot, Bull)</t>
        </is>
      </c>
      <c r="G734" s="215" t="inlineStr">
        <is>
          <t>STATIC SNAPSHOT -- captured by toggling Drivers!B6='Bull' on a temp copy of this workbook, recalculating, and reading back IS!AH44. This is a LITERAL NUMBER, NOT a live formula -- it will not update if the Drivers tab's Bull column (E/F) is edited later. Re-run scripts/build_output_tab.py to refresh.</t>
        </is>
      </c>
    </row>
    <row r="735">
      <c r="A735" s="211" t="inlineStr">
        <is>
          <t>FY27 Q4</t>
        </is>
      </c>
      <c r="B735" s="211" t="inlineStr">
        <is>
          <t>FY2027 AOP</t>
        </is>
      </c>
      <c r="C735" s="212" t="inlineStr">
        <is>
          <t>Bull</t>
        </is>
      </c>
      <c r="D735" s="211" t="inlineStr">
        <is>
          <t>Gross Margin $</t>
        </is>
      </c>
      <c r="E735" s="213" t="n">
        <v>60113.0642698608</v>
      </c>
      <c r="F735" s="214" t="inlineStr">
        <is>
          <t>IS!AI44 (snapshot, Bull)</t>
        </is>
      </c>
      <c r="G735" s="215" t="inlineStr">
        <is>
          <t>STATIC SNAPSHOT -- captured by toggling Drivers!B6='Bull' on a temp copy of this workbook, recalculating, and reading back IS!AI44. This is a LITERAL NUMBER, NOT a live formula -- it will not update if the Drivers tab's Bull column (E/F) is edited later. Re-run scripts/build_output_tab.py to refresh.</t>
        </is>
      </c>
    </row>
    <row r="736">
      <c r="A736" s="211" t="inlineStr">
        <is>
          <t>FY27 Total</t>
        </is>
      </c>
      <c r="B736" s="211" t="inlineStr">
        <is>
          <t>FY2027 AOP</t>
        </is>
      </c>
      <c r="C736" s="212" t="inlineStr">
        <is>
          <t>Bull</t>
        </is>
      </c>
      <c r="D736" s="211" t="inlineStr">
        <is>
          <t>Gross Margin $</t>
        </is>
      </c>
      <c r="E736" s="213" t="n">
        <v>245869.649597987</v>
      </c>
      <c r="F736" s="214" t="inlineStr">
        <is>
          <t>IS!AJ44 (snapshot, Bull)</t>
        </is>
      </c>
      <c r="G736" s="215" t="inlineStr">
        <is>
          <t>STATIC SNAPSHOT -- captured by toggling Drivers!B6='Bull' on a temp copy of this workbook, recalculating, and reading back IS!AJ44. This is a LITERAL NUMBER, NOT a live formula -- it will not update if the Drivers tab's Bull column (E/F) is edited later. Re-run scripts/build_output_tab.py to refresh.</t>
        </is>
      </c>
    </row>
    <row r="737">
      <c r="A737" s="211" t="inlineStr">
        <is>
          <t>FY27 Q1</t>
        </is>
      </c>
      <c r="B737" s="211" t="inlineStr">
        <is>
          <t>FY2027 AOP</t>
        </is>
      </c>
      <c r="C737" s="212" t="inlineStr">
        <is>
          <t>Bull</t>
        </is>
      </c>
      <c r="D737" s="211" t="inlineStr">
        <is>
          <t>Gross Margin %</t>
        </is>
      </c>
      <c r="E737" s="216" t="n">
        <v>0.492914324616619</v>
      </c>
      <c r="F737" s="214" t="inlineStr">
        <is>
          <t>IS!AF45 (snapshot, Bull)</t>
        </is>
      </c>
      <c r="G737" s="215" t="inlineStr">
        <is>
          <t>STATIC SNAPSHOT -- captured by toggling Drivers!B6='Bull' on a temp copy of this workbook, recalculating, and reading back IS!AF45. This is a LITERAL NUMBER, NOT a live formula -- it will not update if the Drivers tab's Bull column (E/F) is edited later. Re-run scripts/build_output_tab.py to refresh.</t>
        </is>
      </c>
    </row>
    <row r="738">
      <c r="A738" s="211" t="inlineStr">
        <is>
          <t>FY27 Q2</t>
        </is>
      </c>
      <c r="B738" s="211" t="inlineStr">
        <is>
          <t>FY2027 AOP</t>
        </is>
      </c>
      <c r="C738" s="212" t="inlineStr">
        <is>
          <t>Bull</t>
        </is>
      </c>
      <c r="D738" s="211" t="inlineStr">
        <is>
          <t>Gross Margin %</t>
        </is>
      </c>
      <c r="E738" s="216" t="n">
        <v>0.492914324616619</v>
      </c>
      <c r="F738" s="214" t="inlineStr">
        <is>
          <t>IS!AG45 (snapshot, Bull)</t>
        </is>
      </c>
      <c r="G738" s="215" t="inlineStr">
        <is>
          <t>STATIC SNAPSHOT -- captured by toggling Drivers!B6='Bull' on a temp copy of this workbook, recalculating, and reading back IS!AG45. This is a LITERAL NUMBER, NOT a live formula -- it will not update if the Drivers tab's Bull column (E/F) is edited later. Re-run scripts/build_output_tab.py to refresh.</t>
        </is>
      </c>
    </row>
    <row r="739">
      <c r="A739" s="211" t="inlineStr">
        <is>
          <t>FY27 Q3</t>
        </is>
      </c>
      <c r="B739" s="211" t="inlineStr">
        <is>
          <t>FY2027 AOP</t>
        </is>
      </c>
      <c r="C739" s="212" t="inlineStr">
        <is>
          <t>Bull</t>
        </is>
      </c>
      <c r="D739" s="211" t="inlineStr">
        <is>
          <t>Gross Margin %</t>
        </is>
      </c>
      <c r="E739" s="216" t="n">
        <v>0.492914324616619</v>
      </c>
      <c r="F739" s="214" t="inlineStr">
        <is>
          <t>IS!AH45 (snapshot, Bull)</t>
        </is>
      </c>
      <c r="G739" s="215" t="inlineStr">
        <is>
          <t>STATIC SNAPSHOT -- captured by toggling Drivers!B6='Bull' on a temp copy of this workbook, recalculating, and reading back IS!AH45. This is a LITERAL NUMBER, NOT a live formula -- it will not update if the Drivers tab's Bull column (E/F) is edited later. Re-run scripts/build_output_tab.py to refresh.</t>
        </is>
      </c>
    </row>
    <row r="740">
      <c r="A740" s="211" t="inlineStr">
        <is>
          <t>FY27 Q4</t>
        </is>
      </c>
      <c r="B740" s="211" t="inlineStr">
        <is>
          <t>FY2027 AOP</t>
        </is>
      </c>
      <c r="C740" s="212" t="inlineStr">
        <is>
          <t>Bull</t>
        </is>
      </c>
      <c r="D740" s="211" t="inlineStr">
        <is>
          <t>Gross Margin %</t>
        </is>
      </c>
      <c r="E740" s="216" t="n">
        <v>0.492914324616619</v>
      </c>
      <c r="F740" s="214" t="inlineStr">
        <is>
          <t>IS!AI45 (snapshot, Bull)</t>
        </is>
      </c>
      <c r="G740" s="215" t="inlineStr">
        <is>
          <t>STATIC SNAPSHOT -- captured by toggling Drivers!B6='Bull' on a temp copy of this workbook, recalculating, and reading back IS!AI45. This is a LITERAL NUMBER, NOT a live formula -- it will not update if the Drivers tab's Bull column (E/F) is edited later. Re-run scripts/build_output_tab.py to refresh.</t>
        </is>
      </c>
    </row>
    <row r="741">
      <c r="A741" s="211" t="inlineStr">
        <is>
          <t>FY27 Total</t>
        </is>
      </c>
      <c r="B741" s="211" t="inlineStr">
        <is>
          <t>FY2027 AOP</t>
        </is>
      </c>
      <c r="C741" s="212" t="inlineStr">
        <is>
          <t>Bull</t>
        </is>
      </c>
      <c r="D741" s="211" t="inlineStr">
        <is>
          <t>Gross Margin %</t>
        </is>
      </c>
      <c r="E741" s="216" t="n">
        <v>0.492914324616619</v>
      </c>
      <c r="F741" s="214" t="inlineStr">
        <is>
          <t>IS!AJ45 (snapshot, Bull)</t>
        </is>
      </c>
      <c r="G741" s="215" t="inlineStr">
        <is>
          <t>STATIC SNAPSHOT -- captured by toggling Drivers!B6='Bull' on a temp copy of this workbook, recalculating, and reading back IS!AJ45. This is a LITERAL NUMBER, NOT a live formula -- it will not update if the Drivers tab's Bull column (E/F) is edited later. Re-run scripts/build_output_tab.py to refresh.</t>
        </is>
      </c>
    </row>
    <row r="742">
      <c r="A742" s="211" t="inlineStr">
        <is>
          <t>FY27 Q1</t>
        </is>
      </c>
      <c r="B742" s="211" t="inlineStr">
        <is>
          <t>FY2027 AOP</t>
        </is>
      </c>
      <c r="C742" s="212" t="inlineStr">
        <is>
          <t>Bull</t>
        </is>
      </c>
      <c r="D742" s="211" t="inlineStr">
        <is>
          <t>Operating Income</t>
        </is>
      </c>
      <c r="E742" s="213" t="n">
        <v>53204.7070584868</v>
      </c>
      <c r="F742" s="214" t="inlineStr">
        <is>
          <t>IS!AF49 (snapshot, Bull)</t>
        </is>
      </c>
      <c r="G742" s="215" t="inlineStr">
        <is>
          <t>STATIC SNAPSHOT -- captured by toggling Drivers!B6='Bull' on a temp copy of this workbook, recalculating, and reading back IS!AF49. This is a LITERAL NUMBER, NOT a live formula -- it will not update if the Drivers tab's Bull column (E/F) is edited later. Re-run scripts/build_output_tab.py to refresh.</t>
        </is>
      </c>
    </row>
    <row r="743">
      <c r="A743" s="211" t="inlineStr">
        <is>
          <t>FY27 Q2</t>
        </is>
      </c>
      <c r="B743" s="211" t="inlineStr">
        <is>
          <t>FY2027 AOP</t>
        </is>
      </c>
      <c r="C743" s="212" t="inlineStr">
        <is>
          <t>Bull</t>
        </is>
      </c>
      <c r="D743" s="211" t="inlineStr">
        <is>
          <t>Operating Income</t>
        </is>
      </c>
      <c r="E743" s="213" t="n">
        <v>40596.1130881017</v>
      </c>
      <c r="F743" s="214" t="inlineStr">
        <is>
          <t>IS!AG49 (snapshot, Bull)</t>
        </is>
      </c>
      <c r="G743" s="215" t="inlineStr">
        <is>
          <t>STATIC SNAPSHOT -- captured by toggling Drivers!B6='Bull' on a temp copy of this workbook, recalculating, and reading back IS!AG49. This is a LITERAL NUMBER, NOT a live formula -- it will not update if the Drivers tab's Bull column (E/F) is edited later. Re-run scripts/build_output_tab.py to refresh.</t>
        </is>
      </c>
    </row>
    <row r="744">
      <c r="A744" s="211" t="inlineStr">
        <is>
          <t>FY27 Q3</t>
        </is>
      </c>
      <c r="B744" s="211" t="inlineStr">
        <is>
          <t>FY2027 AOP</t>
        </is>
      </c>
      <c r="C744" s="212" t="inlineStr">
        <is>
          <t>Bull</t>
        </is>
      </c>
      <c r="D744" s="211" t="inlineStr">
        <is>
          <t>Operating Income</t>
        </is>
      </c>
      <c r="E744" s="213" t="n">
        <v>39196.2476605879</v>
      </c>
      <c r="F744" s="214" t="inlineStr">
        <is>
          <t>IS!AH49 (snapshot, Bull)</t>
        </is>
      </c>
      <c r="G744" s="215" t="inlineStr">
        <is>
          <t>STATIC SNAPSHOT -- captured by toggling Drivers!B6='Bull' on a temp copy of this workbook, recalculating, and reading back IS!AH49. This is a LITERAL NUMBER, NOT a live formula -- it will not update if the Drivers tab's Bull column (E/F) is edited later. Re-run scripts/build_output_tab.py to refresh.</t>
        </is>
      </c>
    </row>
    <row r="745">
      <c r="A745" s="211" t="inlineStr">
        <is>
          <t>FY27 Q4</t>
        </is>
      </c>
      <c r="B745" s="211" t="inlineStr">
        <is>
          <t>FY2027 AOP</t>
        </is>
      </c>
      <c r="C745" s="212" t="inlineStr">
        <is>
          <t>Bull</t>
        </is>
      </c>
      <c r="D745" s="211" t="inlineStr">
        <is>
          <t>Operating Income</t>
        </is>
      </c>
      <c r="E745" s="213" t="n">
        <v>43039.4500990285</v>
      </c>
      <c r="F745" s="214" t="inlineStr">
        <is>
          <t>IS!AI49 (snapshot, Bull)</t>
        </is>
      </c>
      <c r="G745" s="215" t="inlineStr">
        <is>
          <t>STATIC SNAPSHOT -- captured by toggling Drivers!B6='Bull' on a temp copy of this workbook, recalculating, and reading back IS!AI49. This is a LITERAL NUMBER, NOT a live formula -- it will not update if the Drivers tab's Bull column (E/F) is edited later. Re-run scripts/build_output_tab.py to refresh.</t>
        </is>
      </c>
    </row>
    <row r="746">
      <c r="A746" s="211" t="inlineStr">
        <is>
          <t>FY27 Total</t>
        </is>
      </c>
      <c r="B746" s="211" t="inlineStr">
        <is>
          <t>FY2027 AOP</t>
        </is>
      </c>
      <c r="C746" s="212" t="inlineStr">
        <is>
          <t>Bull</t>
        </is>
      </c>
      <c r="D746" s="211" t="inlineStr">
        <is>
          <t>Operating Income</t>
        </is>
      </c>
      <c r="E746" s="213" t="n">
        <v>176036.517906205</v>
      </c>
      <c r="F746" s="214" t="inlineStr">
        <is>
          <t>IS!AJ49 (snapshot, Bull)</t>
        </is>
      </c>
      <c r="G746" s="215" t="inlineStr">
        <is>
          <t>STATIC SNAPSHOT -- captured by toggling Drivers!B6='Bull' on a temp copy of this workbook, recalculating, and reading back IS!AJ49. This is a LITERAL NUMBER, NOT a live formula -- it will not update if the Drivers tab's Bull column (E/F) is edited later. Re-run scripts/build_output_tab.py to refresh.</t>
        </is>
      </c>
    </row>
    <row r="747">
      <c r="A747" s="211" t="inlineStr">
        <is>
          <t>FY27 Q1</t>
        </is>
      </c>
      <c r="B747" s="211" t="inlineStr">
        <is>
          <t>FY2027 AOP</t>
        </is>
      </c>
      <c r="C747" s="212" t="inlineStr">
        <is>
          <t>Bull</t>
        </is>
      </c>
      <c r="D747" s="211" t="inlineStr">
        <is>
          <t>Net Income</t>
        </is>
      </c>
      <c r="E747" s="213" t="n">
        <v>45224.0009997138</v>
      </c>
      <c r="F747" s="214" t="inlineStr">
        <is>
          <t>IS!AF53 (snapshot, Bull)</t>
        </is>
      </c>
      <c r="G747" s="215" t="inlineStr">
        <is>
          <t>STATIC SNAPSHOT -- captured by toggling Drivers!B6='Bull' on a temp copy of this workbook, recalculating, and reading back IS!AF53. This is a LITERAL NUMBER, NOT a live formula -- it will not update if the Drivers tab's Bull column (E/F) is edited later. Re-run scripts/build_output_tab.py to refresh.</t>
        </is>
      </c>
    </row>
    <row r="748">
      <c r="A748" s="211" t="inlineStr">
        <is>
          <t>FY27 Q2</t>
        </is>
      </c>
      <c r="B748" s="211" t="inlineStr">
        <is>
          <t>FY2027 AOP</t>
        </is>
      </c>
      <c r="C748" s="212" t="inlineStr">
        <is>
          <t>Bull</t>
        </is>
      </c>
      <c r="D748" s="211" t="inlineStr">
        <is>
          <t>Net Income</t>
        </is>
      </c>
      <c r="E748" s="213" t="n">
        <v>34506.6961248864</v>
      </c>
      <c r="F748" s="214" t="inlineStr">
        <is>
          <t>IS!AG53 (snapshot, Bull)</t>
        </is>
      </c>
      <c r="G748" s="215" t="inlineStr">
        <is>
          <t>STATIC SNAPSHOT -- captured by toggling Drivers!B6='Bull' on a temp copy of this workbook, recalculating, and reading back IS!AG53. This is a LITERAL NUMBER, NOT a live formula -- it will not update if the Drivers tab's Bull column (E/F) is edited later. Re-run scripts/build_output_tab.py to refresh.</t>
        </is>
      </c>
    </row>
    <row r="749">
      <c r="A749" s="211" t="inlineStr">
        <is>
          <t>FY27 Q3</t>
        </is>
      </c>
      <c r="B749" s="211" t="inlineStr">
        <is>
          <t>FY2027 AOP</t>
        </is>
      </c>
      <c r="C749" s="212" t="inlineStr">
        <is>
          <t>Bull</t>
        </is>
      </c>
      <c r="D749" s="211" t="inlineStr">
        <is>
          <t>Net Income</t>
        </is>
      </c>
      <c r="E749" s="213" t="n">
        <v>33316.8105114997</v>
      </c>
      <c r="F749" s="214" t="inlineStr">
        <is>
          <t>IS!AH53 (snapshot, Bull)</t>
        </is>
      </c>
      <c r="G749" s="215" t="inlineStr">
        <is>
          <t>STATIC SNAPSHOT -- captured by toggling Drivers!B6='Bull' on a temp copy of this workbook, recalculating, and reading back IS!AH53. This is a LITERAL NUMBER, NOT a live formula -- it will not update if the Drivers tab's Bull column (E/F) is edited later. Re-run scripts/build_output_tab.py to refresh.</t>
        </is>
      </c>
    </row>
    <row r="750">
      <c r="A750" s="211" t="inlineStr">
        <is>
          <t>FY27 Q4</t>
        </is>
      </c>
      <c r="B750" s="211" t="inlineStr">
        <is>
          <t>FY2027 AOP</t>
        </is>
      </c>
      <c r="C750" s="212" t="inlineStr">
        <is>
          <t>Bull</t>
        </is>
      </c>
      <c r="D750" s="211" t="inlineStr">
        <is>
          <t>Net Income</t>
        </is>
      </c>
      <c r="E750" s="213" t="n">
        <v>36583.5325841743</v>
      </c>
      <c r="F750" s="214" t="inlineStr">
        <is>
          <t>IS!AI53 (snapshot, Bull)</t>
        </is>
      </c>
      <c r="G750" s="215" t="inlineStr">
        <is>
          <t>STATIC SNAPSHOT -- captured by toggling Drivers!B6='Bull' on a temp copy of this workbook, recalculating, and reading back IS!AI53. This is a LITERAL NUMBER, NOT a live formula -- it will not update if the Drivers tab's Bull column (E/F) is edited later. Re-run scripts/build_output_tab.py to refresh.</t>
        </is>
      </c>
    </row>
    <row r="751">
      <c r="A751" s="211" t="inlineStr">
        <is>
          <t>FY27 Total</t>
        </is>
      </c>
      <c r="B751" s="211" t="inlineStr">
        <is>
          <t>FY2027 AOP</t>
        </is>
      </c>
      <c r="C751" s="212" t="inlineStr">
        <is>
          <t>Bull</t>
        </is>
      </c>
      <c r="D751" s="211" t="inlineStr">
        <is>
          <t>Net Income</t>
        </is>
      </c>
      <c r="E751" s="213" t="n">
        <v>149631.040220274</v>
      </c>
      <c r="F751" s="214" t="inlineStr">
        <is>
          <t>IS!AJ53 (snapshot, Bull)</t>
        </is>
      </c>
      <c r="G751" s="215" t="inlineStr">
        <is>
          <t>STATIC SNAPSHOT -- captured by toggling Drivers!B6='Bull' on a temp copy of this workbook, recalculating, and reading back IS!AJ53. This is a LITERAL NUMBER, NOT a live formula -- it will not update if the Drivers tab's Bull column (E/F) is edited later. Re-run scripts/build_output_tab.py to refresh.</t>
        </is>
      </c>
    </row>
    <row r="752">
      <c r="A752" s="211" t="inlineStr">
        <is>
          <t>FY27 Q1</t>
        </is>
      </c>
      <c r="B752" s="211" t="inlineStr">
        <is>
          <t>FY2027 AOP</t>
        </is>
      </c>
      <c r="C752" s="212" t="inlineStr">
        <is>
          <t>Bull</t>
        </is>
      </c>
      <c r="D752" s="211" t="inlineStr">
        <is>
          <t>EPS</t>
        </is>
      </c>
      <c r="E752" s="217" t="n">
        <v>3.07323828553062</v>
      </c>
      <c r="F752" s="214" t="inlineStr">
        <is>
          <t>IS!AF57 (snapshot, Bull)</t>
        </is>
      </c>
      <c r="G752" s="215" t="inlineStr">
        <is>
          <t>STATIC SNAPSHOT -- captured by toggling Drivers!B6='Bull' on a temp copy of this workbook, recalculating, and reading back IS!AF57. This is a LITERAL NUMBER, NOT a live formula -- it will not update if the Drivers tab's Bull column (E/F) is edited later. Re-run scripts/build_output_tab.py to refresh.</t>
        </is>
      </c>
    </row>
    <row r="753">
      <c r="A753" s="211" t="inlineStr">
        <is>
          <t>FY27 Q2</t>
        </is>
      </c>
      <c r="B753" s="211" t="inlineStr">
        <is>
          <t>FY2027 AOP</t>
        </is>
      </c>
      <c r="C753" s="212" t="inlineStr">
        <is>
          <t>Bull</t>
        </is>
      </c>
      <c r="D753" s="211" t="inlineStr">
        <is>
          <t>EPS</t>
        </is>
      </c>
      <c r="E753" s="217" t="n">
        <v>2.34493404594705</v>
      </c>
      <c r="F753" s="214" t="inlineStr">
        <is>
          <t>IS!AG57 (snapshot, Bull)</t>
        </is>
      </c>
      <c r="G753" s="215" t="inlineStr">
        <is>
          <t>STATIC SNAPSHOT -- captured by toggling Drivers!B6='Bull' on a temp copy of this workbook, recalculating, and reading back IS!AG57. This is a LITERAL NUMBER, NOT a live formula -- it will not update if the Drivers tab's Bull column (E/F) is edited later. Re-run scripts/build_output_tab.py to refresh.</t>
        </is>
      </c>
    </row>
    <row r="754">
      <c r="A754" s="211" t="inlineStr">
        <is>
          <t>FY27 Q3</t>
        </is>
      </c>
      <c r="B754" s="211" t="inlineStr">
        <is>
          <t>FY2027 AOP</t>
        </is>
      </c>
      <c r="C754" s="212" t="inlineStr">
        <is>
          <t>Bull</t>
        </is>
      </c>
      <c r="D754" s="211" t="inlineStr">
        <is>
          <t>EPS</t>
        </is>
      </c>
      <c r="E754" s="217" t="n">
        <v>2.26407428251114</v>
      </c>
      <c r="F754" s="214" t="inlineStr">
        <is>
          <t>IS!AH57 (snapshot, Bull)</t>
        </is>
      </c>
      <c r="G754" s="215" t="inlineStr">
        <is>
          <t>STATIC SNAPSHOT -- captured by toggling Drivers!B6='Bull' on a temp copy of this workbook, recalculating, and reading back IS!AH57. This is a LITERAL NUMBER, NOT a live formula -- it will not update if the Drivers tab's Bull column (E/F) is edited later. Re-run scripts/build_output_tab.py to refresh.</t>
        </is>
      </c>
    </row>
    <row r="755">
      <c r="A755" s="211" t="inlineStr">
        <is>
          <t>FY27 Q4</t>
        </is>
      </c>
      <c r="B755" s="211" t="inlineStr">
        <is>
          <t>FY2027 AOP</t>
        </is>
      </c>
      <c r="C755" s="212" t="inlineStr">
        <is>
          <t>Bull</t>
        </is>
      </c>
      <c r="D755" s="211" t="inlineStr">
        <is>
          <t>EPS</t>
        </is>
      </c>
      <c r="E755" s="217" t="n">
        <v>2.4860673640608</v>
      </c>
      <c r="F755" s="214" t="inlineStr">
        <is>
          <t>IS!AI57 (snapshot, Bull)</t>
        </is>
      </c>
      <c r="G755" s="215" t="inlineStr">
        <is>
          <t>STATIC SNAPSHOT -- captured by toggling Drivers!B6='Bull' on a temp copy of this workbook, recalculating, and reading back IS!AI57. This is a LITERAL NUMBER, NOT a live formula -- it will not update if the Drivers tab's Bull column (E/F) is edited later. Re-run scripts/build_output_tab.py to refresh.</t>
        </is>
      </c>
    </row>
    <row r="756">
      <c r="A756" s="211" t="inlineStr">
        <is>
          <t>FY27 Total</t>
        </is>
      </c>
      <c r="B756" s="211" t="inlineStr">
        <is>
          <t>FY2027 AOP</t>
        </is>
      </c>
      <c r="C756" s="212" t="inlineStr">
        <is>
          <t>Bull</t>
        </is>
      </c>
      <c r="D756" s="211" t="inlineStr">
        <is>
          <t>EPS</t>
        </is>
      </c>
      <c r="E756" s="217" t="n">
        <v>10.1683139780496</v>
      </c>
      <c r="F756" s="214" t="inlineStr">
        <is>
          <t>IS!AJ57 (snapshot, Bull)</t>
        </is>
      </c>
      <c r="G756" s="215" t="inlineStr">
        <is>
          <t>STATIC SNAPSHOT -- captured by toggling Drivers!B6='Bull' on a temp copy of this workbook, recalculating, and reading back IS!AJ57. This is a LITERAL NUMBER, NOT a live formula -- it will not update if the Drivers tab's Bull column (E/F) is edited later. Re-run scripts/build_output_tab.py to refresh.</t>
        </is>
      </c>
    </row>
    <row r="757">
      <c r="A757" s="211" t="inlineStr">
        <is>
          <t>FY27 Q1</t>
        </is>
      </c>
      <c r="B757" s="211" t="inlineStr">
        <is>
          <t>FY2027 AOP</t>
        </is>
      </c>
      <c r="C757" s="212" t="inlineStr">
        <is>
          <t>Bull</t>
        </is>
      </c>
      <c r="D757" s="211" t="inlineStr">
        <is>
          <t>FCF</t>
        </is>
      </c>
      <c r="E757" s="213" t="n">
        <v>56907.6368666382</v>
      </c>
      <c r="F757" s="214" t="inlineStr">
        <is>
          <t>CF!AF32 (snapshot, Bull)</t>
        </is>
      </c>
      <c r="G757" s="215" t="inlineStr">
        <is>
          <t>STATIC SNAPSHOT -- captured by toggling Drivers!B6='Bull' on a temp copy of this workbook, recalculating, and reading back CF!AF32. This is a LITERAL NUMBER, NOT a live formula -- it will not update if the Drivers tab's Bull column (E/F) is edited later. Re-run scripts/build_output_tab.py to refresh.</t>
        </is>
      </c>
    </row>
    <row r="758">
      <c r="A758" s="211" t="inlineStr">
        <is>
          <t>FY27 Q2</t>
        </is>
      </c>
      <c r="B758" s="211" t="inlineStr">
        <is>
          <t>FY2027 AOP</t>
        </is>
      </c>
      <c r="C758" s="212" t="inlineStr">
        <is>
          <t>Bull</t>
        </is>
      </c>
      <c r="D758" s="211" t="inlineStr">
        <is>
          <t>FCF</t>
        </is>
      </c>
      <c r="E758" s="213" t="n">
        <v>23449.0921860023</v>
      </c>
      <c r="F758" s="214" t="inlineStr">
        <is>
          <t>CF!AG32 (snapshot, Bull)</t>
        </is>
      </c>
      <c r="G758" s="215" t="inlineStr">
        <is>
          <t>STATIC SNAPSHOT -- captured by toggling Drivers!B6='Bull' on a temp copy of this workbook, recalculating, and reading back CF!AG32. This is a LITERAL NUMBER, NOT a live formula -- it will not update if the Drivers tab's Bull column (E/F) is edited later. Re-run scripts/build_output_tab.py to refresh.</t>
        </is>
      </c>
    </row>
    <row r="759">
      <c r="A759" s="211" t="inlineStr">
        <is>
          <t>FY27 Q3</t>
        </is>
      </c>
      <c r="B759" s="211" t="inlineStr">
        <is>
          <t>FY2027 AOP</t>
        </is>
      </c>
      <c r="C759" s="212" t="inlineStr">
        <is>
          <t>Bull</t>
        </is>
      </c>
      <c r="D759" s="211" t="inlineStr">
        <is>
          <t>FCF</t>
        </is>
      </c>
      <c r="E759" s="213" t="n">
        <v>32412.261937146</v>
      </c>
      <c r="F759" s="214" t="inlineStr">
        <is>
          <t>CF!AH32 (snapshot, Bull)</t>
        </is>
      </c>
      <c r="G759" s="215" t="inlineStr">
        <is>
          <t>STATIC SNAPSHOT -- captured by toggling Drivers!B6='Bull' on a temp copy of this workbook, recalculating, and reading back CF!AH32. This is a LITERAL NUMBER, NOT a live formula -- it will not update if the Drivers tab's Bull column (E/F) is edited later. Re-run scripts/build_output_tab.py to refresh.</t>
        </is>
      </c>
    </row>
    <row r="760">
      <c r="A760" s="211" t="inlineStr">
        <is>
          <t>FY27 Q4</t>
        </is>
      </c>
      <c r="B760" s="211" t="inlineStr">
        <is>
          <t>FY2027 AOP</t>
        </is>
      </c>
      <c r="C760" s="212" t="inlineStr">
        <is>
          <t>Bull</t>
        </is>
      </c>
      <c r="D760" s="211" t="inlineStr">
        <is>
          <t>FCF</t>
        </is>
      </c>
      <c r="E760" s="213" t="n">
        <v>40470.140991761</v>
      </c>
      <c r="F760" s="214" t="inlineStr">
        <is>
          <t>CF!AI32 (snapshot, Bull)</t>
        </is>
      </c>
      <c r="G760" s="215" t="inlineStr">
        <is>
          <t>STATIC SNAPSHOT -- captured by toggling Drivers!B6='Bull' on a temp copy of this workbook, recalculating, and reading back CF!AI32. This is a LITERAL NUMBER, NOT a live formula -- it will not update if the Drivers tab's Bull column (E/F) is edited later. Re-run scripts/build_output_tab.py to refresh.</t>
        </is>
      </c>
    </row>
    <row r="761">
      <c r="A761" s="211" t="inlineStr">
        <is>
          <t>FY27 Total</t>
        </is>
      </c>
      <c r="B761" s="211" t="inlineStr">
        <is>
          <t>FY2027 AOP</t>
        </is>
      </c>
      <c r="C761" s="212" t="inlineStr">
        <is>
          <t>Bull</t>
        </is>
      </c>
      <c r="D761" s="211" t="inlineStr">
        <is>
          <t>FCF</t>
        </is>
      </c>
      <c r="E761" s="213" t="n">
        <v>153239.131981548</v>
      </c>
      <c r="F761" s="214" t="inlineStr">
        <is>
          <t>CF!AJ32 (snapshot, Bull)</t>
        </is>
      </c>
      <c r="G761" s="215" t="inlineStr">
        <is>
          <t>STATIC SNAPSHOT -- captured by toggling Drivers!B6='Bull' on a temp copy of this workbook, recalculating, and reading back CF!AJ32. This is a LITERAL NUMBER, NOT a live formula -- it will not update if the Drivers tab's Bull column (E/F) is edited later. Re-run scripts/build_output_tab.py to refresh.</t>
        </is>
      </c>
    </row>
    <row r="762">
      <c r="A762" s="211" t="inlineStr">
        <is>
          <t>FY27 Q1</t>
        </is>
      </c>
      <c r="B762" s="211" t="inlineStr">
        <is>
          <t>FY2027 AOP</t>
        </is>
      </c>
      <c r="C762" s="212" t="inlineStr">
        <is>
          <t>Bull</t>
        </is>
      </c>
      <c r="D762" s="211" t="inlineStr">
        <is>
          <t>Cash</t>
        </is>
      </c>
      <c r="E762" s="213" t="n">
        <v>7789.59971412027</v>
      </c>
      <c r="F762" s="214" t="inlineStr">
        <is>
          <t>BS!AF9 (snapshot, Bull)</t>
        </is>
      </c>
      <c r="G762" s="215" t="inlineStr">
        <is>
          <t>STATIC SNAPSHOT -- captured by toggling Drivers!B6='Bull' on a temp copy of this workbook, recalculating, and reading back BS!AF9. This is a LITERAL NUMBER, NOT a live formula -- it will not update if the Drivers tab's Bull column (E/F) is edited later. Re-run scripts/build_output_tab.py to refresh.</t>
        </is>
      </c>
    </row>
    <row r="763">
      <c r="A763" s="211" t="inlineStr">
        <is>
          <t>FY27 Q2</t>
        </is>
      </c>
      <c r="B763" s="211" t="inlineStr">
        <is>
          <t>FY2027 AOP</t>
        </is>
      </c>
      <c r="C763" s="212" t="inlineStr">
        <is>
          <t>Bull</t>
        </is>
      </c>
      <c r="D763" s="211" t="inlineStr">
        <is>
          <t>Cash</t>
        </is>
      </c>
      <c r="E763" s="213" t="n">
        <v>2268.52833413844</v>
      </c>
      <c r="F763" s="214" t="inlineStr">
        <is>
          <t>BS!AG9 (snapshot, Bull)</t>
        </is>
      </c>
      <c r="G763" s="215" t="inlineStr">
        <is>
          <t>STATIC SNAPSHOT -- captured by toggling Drivers!B6='Bull' on a temp copy of this workbook, recalculating, and reading back BS!AG9. This is a LITERAL NUMBER, NOT a live formula -- it will not update if the Drivers tab's Bull column (E/F) is edited later. Re-run scripts/build_output_tab.py to refresh.</t>
        </is>
      </c>
    </row>
    <row r="764">
      <c r="A764" s="211" t="inlineStr">
        <is>
          <t>FY27 Q3</t>
        </is>
      </c>
      <c r="B764" s="211" t="inlineStr">
        <is>
          <t>FY2027 AOP</t>
        </is>
      </c>
      <c r="C764" s="212" t="inlineStr">
        <is>
          <t>Bull</t>
        </is>
      </c>
      <c r="D764" s="211" t="inlineStr">
        <is>
          <t>Cash</t>
        </is>
      </c>
      <c r="E764" s="213" t="n">
        <v>-3062.16134770151</v>
      </c>
      <c r="F764" s="214" t="inlineStr">
        <is>
          <t>BS!AH9 (snapshot, Bull)</t>
        </is>
      </c>
      <c r="G764" s="215" t="inlineStr">
        <is>
          <t>STATIC SNAPSHOT -- captured by toggling Drivers!B6='Bull' on a temp copy of this workbook, recalculating, and reading back BS!AH9. This is a LITERAL NUMBER, NOT a live formula -- it will not update if the Drivers tab's Bull column (E/F) is edited later. Re-run scripts/build_output_tab.py to refresh.</t>
        </is>
      </c>
    </row>
    <row r="765">
      <c r="A765" s="211" t="inlineStr">
        <is>
          <t>FY27 Q4</t>
        </is>
      </c>
      <c r="B765" s="211" t="inlineStr">
        <is>
          <t>FY2027 AOP</t>
        </is>
      </c>
      <c r="C765" s="212" t="inlineStr">
        <is>
          <t>Bull</t>
        </is>
      </c>
      <c r="D765" s="211" t="inlineStr">
        <is>
          <t>Cash</t>
        </is>
      </c>
      <c r="E765" s="213" t="n">
        <v>-8915.52656116939</v>
      </c>
      <c r="F765" s="214" t="inlineStr">
        <is>
          <t>BS!AI9 (snapshot, Bull)</t>
        </is>
      </c>
      <c r="G765" s="215" t="inlineStr">
        <is>
          <t>STATIC SNAPSHOT -- captured by toggling Drivers!B6='Bull' on a temp copy of this workbook, recalculating, and reading back BS!AI9. This is a LITERAL NUMBER, NOT a live formula -- it will not update if the Drivers tab's Bull column (E/F) is edited later. Re-run scripts/build_output_tab.py to refresh.</t>
        </is>
      </c>
    </row>
    <row r="766">
      <c r="A766" s="211" t="inlineStr">
        <is>
          <t>FY27 Total</t>
        </is>
      </c>
      <c r="B766" s="211" t="inlineStr">
        <is>
          <t>FY2027 AOP</t>
        </is>
      </c>
      <c r="C766" s="212" t="inlineStr">
        <is>
          <t>Bull</t>
        </is>
      </c>
      <c r="D766" s="211" t="inlineStr">
        <is>
          <t>Cash</t>
        </is>
      </c>
      <c r="E766" s="213" t="n">
        <v>-8915.52656116939</v>
      </c>
      <c r="F766" s="214" t="inlineStr">
        <is>
          <t>BS!AJ9 (snapshot, Bull)</t>
        </is>
      </c>
      <c r="G766" s="215" t="inlineStr">
        <is>
          <t>STATIC SNAPSHOT -- captured by toggling Drivers!B6='Bull' on a temp copy of this workbook, recalculating, and reading back BS!AJ9. This is a LITERAL NUMBER, NOT a live formula -- it will not update if the Drivers tab's Bull column (E/F) is edited later. Re-run scripts/build_output_tab.py to refresh.</t>
        </is>
      </c>
    </row>
    <row r="767">
      <c r="A767" s="211" t="inlineStr">
        <is>
          <t>FY27 Q1</t>
        </is>
      </c>
      <c r="B767" s="211" t="inlineStr">
        <is>
          <t>FY2027 AOP</t>
        </is>
      </c>
      <c r="C767" s="212" t="inlineStr">
        <is>
          <t>Bear</t>
        </is>
      </c>
      <c r="D767" s="211" t="inlineStr">
        <is>
          <t>Revenue</t>
        </is>
      </c>
      <c r="E767" s="213" t="n">
        <v>132216.078960681</v>
      </c>
      <c r="F767" s="214" t="inlineStr">
        <is>
          <t>IS!AF41 (snapshot, Bear)</t>
        </is>
      </c>
      <c r="G767" s="215" t="inlineStr">
        <is>
          <t>STATIC SNAPSHOT -- captured by toggling Drivers!B6='Bear' on a temp copy of this workbook, recalculating, and reading back IS!AF41. This is a LITERAL NUMBER, NOT a live formula -- it will not update if the Drivers tab's Bear column (E/F) is edited later. Re-run scripts/build_output_tab.py to refresh.</t>
        </is>
      </c>
    </row>
    <row r="768">
      <c r="A768" s="211" t="inlineStr">
        <is>
          <t>FY27 Q2</t>
        </is>
      </c>
      <c r="B768" s="211" t="inlineStr">
        <is>
          <t>FY2027 AOP</t>
        </is>
      </c>
      <c r="C768" s="212" t="inlineStr">
        <is>
          <t>Bear</t>
        </is>
      </c>
      <c r="D768" s="211" t="inlineStr">
        <is>
          <t>Revenue</t>
        </is>
      </c>
      <c r="E768" s="213" t="n">
        <v>100883.158470412</v>
      </c>
      <c r="F768" s="214" t="inlineStr">
        <is>
          <t>IS!AG41 (snapshot, Bear)</t>
        </is>
      </c>
      <c r="G768" s="215" t="inlineStr">
        <is>
          <t>STATIC SNAPSHOT -- captured by toggling Drivers!B6='Bear' on a temp copy of this workbook, recalculating, and reading back IS!AG41. This is a LITERAL NUMBER, NOT a live formula -- it will not update if the Drivers tab's Bear column (E/F) is edited later. Re-run scripts/build_output_tab.py to refresh.</t>
        </is>
      </c>
    </row>
    <row r="769">
      <c r="A769" s="211" t="inlineStr">
        <is>
          <t>FY27 Q3</t>
        </is>
      </c>
      <c r="B769" s="211" t="inlineStr">
        <is>
          <t>FY2027 AOP</t>
        </is>
      </c>
      <c r="C769" s="212" t="inlineStr">
        <is>
          <t>Bear</t>
        </is>
      </c>
      <c r="D769" s="211" t="inlineStr">
        <is>
          <t>Revenue</t>
        </is>
      </c>
      <c r="E769" s="213" t="n">
        <v>97404.4302124962</v>
      </c>
      <c r="F769" s="214" t="inlineStr">
        <is>
          <t>IS!AH41 (snapshot, Bear)</t>
        </is>
      </c>
      <c r="G769" s="215" t="inlineStr">
        <is>
          <t>STATIC SNAPSHOT -- captured by toggling Drivers!B6='Bear' on a temp copy of this workbook, recalculating, and reading back IS!AH41. This is a LITERAL NUMBER, NOT a live formula -- it will not update if the Drivers tab's Bear column (E/F) is edited later. Re-run scripts/build_output_tab.py to refresh.</t>
        </is>
      </c>
    </row>
    <row r="770">
      <c r="A770" s="211" t="inlineStr">
        <is>
          <t>FY27 Q4</t>
        </is>
      </c>
      <c r="B770" s="211" t="inlineStr">
        <is>
          <t>FY2027 AOP</t>
        </is>
      </c>
      <c r="C770" s="212" t="inlineStr">
        <is>
          <t>Bear</t>
        </is>
      </c>
      <c r="D770" s="211" t="inlineStr">
        <is>
          <t>Revenue</t>
        </is>
      </c>
      <c r="E770" s="213" t="n">
        <v>106954.960328265</v>
      </c>
      <c r="F770" s="214" t="inlineStr">
        <is>
          <t>IS!AI41 (snapshot, Bear)</t>
        </is>
      </c>
      <c r="G770" s="215" t="inlineStr">
        <is>
          <t>STATIC SNAPSHOT -- captured by toggling Drivers!B6='Bear' on a temp copy of this workbook, recalculating, and reading back IS!AI41. This is a LITERAL NUMBER, NOT a live formula -- it will not update if the Drivers tab's Bear column (E/F) is edited later. Re-run scripts/build_output_tab.py to refresh.</t>
        </is>
      </c>
    </row>
    <row r="771">
      <c r="A771" s="211" t="inlineStr">
        <is>
          <t>FY27 Total</t>
        </is>
      </c>
      <c r="B771" s="211" t="inlineStr">
        <is>
          <t>FY2027 AOP</t>
        </is>
      </c>
      <c r="C771" s="212" t="inlineStr">
        <is>
          <t>Bear</t>
        </is>
      </c>
      <c r="D771" s="211" t="inlineStr">
        <is>
          <t>Revenue</t>
        </is>
      </c>
      <c r="E771" s="213" t="n">
        <v>437458.627971854</v>
      </c>
      <c r="F771" s="214" t="inlineStr">
        <is>
          <t>IS!AJ41 (snapshot, Bear)</t>
        </is>
      </c>
      <c r="G771" s="215" t="inlineStr">
        <is>
          <t>STATIC SNAPSHOT -- captured by toggling Drivers!B6='Bear' on a temp copy of this workbook, recalculating, and reading back IS!AJ41. This is a LITERAL NUMBER, NOT a live formula -- it will not update if the Drivers tab's Bear column (E/F) is edited later. Re-run scripts/build_output_tab.py to refresh.</t>
        </is>
      </c>
    </row>
    <row r="772">
      <c r="A772" s="211" t="inlineStr">
        <is>
          <t>FY27 Q1</t>
        </is>
      </c>
      <c r="B772" s="211" t="inlineStr">
        <is>
          <t>FY2027 AOP</t>
        </is>
      </c>
      <c r="C772" s="212" t="inlineStr">
        <is>
          <t>Bear</t>
        </is>
      </c>
      <c r="D772" s="211" t="inlineStr">
        <is>
          <t>Gross Margin $</t>
        </is>
      </c>
      <c r="E772" s="213" t="n">
        <v>61888.1149868862</v>
      </c>
      <c r="F772" s="214" t="inlineStr">
        <is>
          <t>IS!AF44 (snapshot, Bear)</t>
        </is>
      </c>
      <c r="G772" s="215" t="inlineStr">
        <is>
          <t>STATIC SNAPSHOT -- captured by toggling Drivers!B6='Bear' on a temp copy of this workbook, recalculating, and reading back IS!AF44. This is a LITERAL NUMBER, NOT a live formula -- it will not update if the Drivers tab's Bear column (E/F) is edited later. Re-run scripts/build_output_tab.py to refresh.</t>
        </is>
      </c>
    </row>
    <row r="773">
      <c r="A773" s="211" t="inlineStr">
        <is>
          <t>FY27 Q2</t>
        </is>
      </c>
      <c r="B773" s="211" t="inlineStr">
        <is>
          <t>FY2027 AOP</t>
        </is>
      </c>
      <c r="C773" s="212" t="inlineStr">
        <is>
          <t>Bear</t>
        </is>
      </c>
      <c r="D773" s="211" t="inlineStr">
        <is>
          <t>Gross Margin $</t>
        </is>
      </c>
      <c r="E773" s="213" t="n">
        <v>47221.7037499187</v>
      </c>
      <c r="F773" s="214" t="inlineStr">
        <is>
          <t>IS!AG44 (snapshot, Bear)</t>
        </is>
      </c>
      <c r="G773" s="215" t="inlineStr">
        <is>
          <t>STATIC SNAPSHOT -- captured by toggling Drivers!B6='Bear' on a temp copy of this workbook, recalculating, and reading back IS!AG44. This is a LITERAL NUMBER, NOT a live formula -- it will not update if the Drivers tab's Bear column (E/F) is edited later. Re-run scripts/build_output_tab.py to refresh.</t>
        </is>
      </c>
    </row>
    <row r="774">
      <c r="A774" s="211" t="inlineStr">
        <is>
          <t>FY27 Q3</t>
        </is>
      </c>
      <c r="B774" s="211" t="inlineStr">
        <is>
          <t>FY2027 AOP</t>
        </is>
      </c>
      <c r="C774" s="212" t="inlineStr">
        <is>
          <t>Bear</t>
        </is>
      </c>
      <c r="D774" s="211" t="inlineStr">
        <is>
          <t>Gross Margin $</t>
        </is>
      </c>
      <c r="E774" s="213" t="n">
        <v>45593.369767196</v>
      </c>
      <c r="F774" s="214" t="inlineStr">
        <is>
          <t>IS!AH44 (snapshot, Bear)</t>
        </is>
      </c>
      <c r="G774" s="215" t="inlineStr">
        <is>
          <t>STATIC SNAPSHOT -- captured by toggling Drivers!B6='Bear' on a temp copy of this workbook, recalculating, and reading back IS!AH44. This is a LITERAL NUMBER, NOT a live formula -- it will not update if the Drivers tab's Bear column (E/F) is edited later. Re-run scripts/build_output_tab.py to refresh.</t>
        </is>
      </c>
    </row>
    <row r="775">
      <c r="A775" s="211" t="inlineStr">
        <is>
          <t>FY27 Q4</t>
        </is>
      </c>
      <c r="B775" s="211" t="inlineStr">
        <is>
          <t>FY2027 AOP</t>
        </is>
      </c>
      <c r="C775" s="212" t="inlineStr">
        <is>
          <t>Bear</t>
        </is>
      </c>
      <c r="D775" s="211" t="inlineStr">
        <is>
          <t>Gross Margin $</t>
        </is>
      </c>
      <c r="E775" s="213" t="n">
        <v>50063.8117182556</v>
      </c>
      <c r="F775" s="214" t="inlineStr">
        <is>
          <t>IS!AI44 (snapshot, Bear)</t>
        </is>
      </c>
      <c r="G775" s="215" t="inlineStr">
        <is>
          <t>STATIC SNAPSHOT -- captured by toggling Drivers!B6='Bear' on a temp copy of this workbook, recalculating, and reading back IS!AI44. This is a LITERAL NUMBER, NOT a live formula -- it will not update if the Drivers tab's Bear column (E/F) is edited later. Re-run scripts/build_output_tab.py to refresh.</t>
        </is>
      </c>
    </row>
    <row r="776">
      <c r="A776" s="211" t="inlineStr">
        <is>
          <t>FY27 Total</t>
        </is>
      </c>
      <c r="B776" s="211" t="inlineStr">
        <is>
          <t>FY2027 AOP</t>
        </is>
      </c>
      <c r="C776" s="212" t="inlineStr">
        <is>
          <t>Bear</t>
        </is>
      </c>
      <c r="D776" s="211" t="inlineStr">
        <is>
          <t>Gross Margin $</t>
        </is>
      </c>
      <c r="E776" s="213" t="n">
        <v>204767.000222257</v>
      </c>
      <c r="F776" s="214" t="inlineStr">
        <is>
          <t>IS!AJ44 (snapshot, Bear)</t>
        </is>
      </c>
      <c r="G776" s="215" t="inlineStr">
        <is>
          <t>STATIC SNAPSHOT -- captured by toggling Drivers!B6='Bear' on a temp copy of this workbook, recalculating, and reading back IS!AJ44. This is a LITERAL NUMBER, NOT a live formula -- it will not update if the Drivers tab's Bear column (E/F) is edited later. Re-run scripts/build_output_tab.py to refresh.</t>
        </is>
      </c>
    </row>
    <row r="777">
      <c r="A777" s="211" t="inlineStr">
        <is>
          <t>FY27 Q1</t>
        </is>
      </c>
      <c r="B777" s="211" t="inlineStr">
        <is>
          <t>FY2027 AOP</t>
        </is>
      </c>
      <c r="C777" s="212" t="inlineStr">
        <is>
          <t>Bear</t>
        </is>
      </c>
      <c r="D777" s="211" t="inlineStr">
        <is>
          <t>Gross Margin %</t>
        </is>
      </c>
      <c r="E777" s="216" t="n">
        <v>0.468083121760788</v>
      </c>
      <c r="F777" s="214" t="inlineStr">
        <is>
          <t>IS!AF45 (snapshot, Bear)</t>
        </is>
      </c>
      <c r="G777" s="215" t="inlineStr">
        <is>
          <t>STATIC SNAPSHOT -- captured by toggling Drivers!B6='Bear' on a temp copy of this workbook, recalculating, and reading back IS!AF45. This is a LITERAL NUMBER, NOT a live formula -- it will not update if the Drivers tab's Bear column (E/F) is edited later. Re-run scripts/build_output_tab.py to refresh.</t>
        </is>
      </c>
    </row>
    <row r="778">
      <c r="A778" s="211" t="inlineStr">
        <is>
          <t>FY27 Q2</t>
        </is>
      </c>
      <c r="B778" s="211" t="inlineStr">
        <is>
          <t>FY2027 AOP</t>
        </is>
      </c>
      <c r="C778" s="212" t="inlineStr">
        <is>
          <t>Bear</t>
        </is>
      </c>
      <c r="D778" s="211" t="inlineStr">
        <is>
          <t>Gross Margin %</t>
        </is>
      </c>
      <c r="E778" s="216" t="n">
        <v>0.468083121760788</v>
      </c>
      <c r="F778" s="214" t="inlineStr">
        <is>
          <t>IS!AG45 (snapshot, Bear)</t>
        </is>
      </c>
      <c r="G778" s="215" t="inlineStr">
        <is>
          <t>STATIC SNAPSHOT -- captured by toggling Drivers!B6='Bear' on a temp copy of this workbook, recalculating, and reading back IS!AG45. This is a LITERAL NUMBER, NOT a live formula -- it will not update if the Drivers tab's Bear column (E/F) is edited later. Re-run scripts/build_output_tab.py to refresh.</t>
        </is>
      </c>
    </row>
    <row r="779">
      <c r="A779" s="211" t="inlineStr">
        <is>
          <t>FY27 Q3</t>
        </is>
      </c>
      <c r="B779" s="211" t="inlineStr">
        <is>
          <t>FY2027 AOP</t>
        </is>
      </c>
      <c r="C779" s="212" t="inlineStr">
        <is>
          <t>Bear</t>
        </is>
      </c>
      <c r="D779" s="211" t="inlineStr">
        <is>
          <t>Gross Margin %</t>
        </is>
      </c>
      <c r="E779" s="216" t="n">
        <v>0.468083121760788</v>
      </c>
      <c r="F779" s="214" t="inlineStr">
        <is>
          <t>IS!AH45 (snapshot, Bear)</t>
        </is>
      </c>
      <c r="G779" s="215" t="inlineStr">
        <is>
          <t>STATIC SNAPSHOT -- captured by toggling Drivers!B6='Bear' on a temp copy of this workbook, recalculating, and reading back IS!AH45. This is a LITERAL NUMBER, NOT a live formula -- it will not update if the Drivers tab's Bear column (E/F) is edited later. Re-run scripts/build_output_tab.py to refresh.</t>
        </is>
      </c>
    </row>
    <row r="780">
      <c r="A780" s="211" t="inlineStr">
        <is>
          <t>FY27 Q4</t>
        </is>
      </c>
      <c r="B780" s="211" t="inlineStr">
        <is>
          <t>FY2027 AOP</t>
        </is>
      </c>
      <c r="C780" s="212" t="inlineStr">
        <is>
          <t>Bear</t>
        </is>
      </c>
      <c r="D780" s="211" t="inlineStr">
        <is>
          <t>Gross Margin %</t>
        </is>
      </c>
      <c r="E780" s="216" t="n">
        <v>0.468083121760788</v>
      </c>
      <c r="F780" s="214" t="inlineStr">
        <is>
          <t>IS!AI45 (snapshot, Bear)</t>
        </is>
      </c>
      <c r="G780" s="215" t="inlineStr">
        <is>
          <t>STATIC SNAPSHOT -- captured by toggling Drivers!B6='Bear' on a temp copy of this workbook, recalculating, and reading back IS!AI45. This is a LITERAL NUMBER, NOT a live formula -- it will not update if the Drivers tab's Bear column (E/F) is edited later. Re-run scripts/build_output_tab.py to refresh.</t>
        </is>
      </c>
    </row>
    <row r="781">
      <c r="A781" s="211" t="inlineStr">
        <is>
          <t>FY27 Total</t>
        </is>
      </c>
      <c r="B781" s="211" t="inlineStr">
        <is>
          <t>FY2027 AOP</t>
        </is>
      </c>
      <c r="C781" s="212" t="inlineStr">
        <is>
          <t>Bear</t>
        </is>
      </c>
      <c r="D781" s="211" t="inlineStr">
        <is>
          <t>Gross Margin %</t>
        </is>
      </c>
      <c r="E781" s="216" t="n">
        <v>0.468083121760788</v>
      </c>
      <c r="F781" s="214" t="inlineStr">
        <is>
          <t>IS!AJ45 (snapshot, Bear)</t>
        </is>
      </c>
      <c r="G781" s="215" t="inlineStr">
        <is>
          <t>STATIC SNAPSHOT -- captured by toggling Drivers!B6='Bear' on a temp copy of this workbook, recalculating, and reading back IS!AJ45. This is a LITERAL NUMBER, NOT a live formula -- it will not update if the Drivers tab's Bear column (E/F) is edited later. Re-run scripts/build_output_tab.py to refresh.</t>
        </is>
      </c>
    </row>
    <row r="782">
      <c r="A782" s="211" t="inlineStr">
        <is>
          <t>FY27 Q1</t>
        </is>
      </c>
      <c r="B782" s="211" t="inlineStr">
        <is>
          <t>FY2027 AOP</t>
        </is>
      </c>
      <c r="C782" s="212" t="inlineStr">
        <is>
          <t>Bear</t>
        </is>
      </c>
      <c r="D782" s="211" t="inlineStr">
        <is>
          <t>Operating Income</t>
        </is>
      </c>
      <c r="E782" s="213" t="n">
        <v>40469.110195256</v>
      </c>
      <c r="F782" s="214" t="inlineStr">
        <is>
          <t>IS!AF49 (snapshot, Bear)</t>
        </is>
      </c>
      <c r="G782" s="215" t="inlineStr">
        <is>
          <t>STATIC SNAPSHOT -- captured by toggling Drivers!B6='Bear' on a temp copy of this workbook, recalculating, and reading back IS!AF49. This is a LITERAL NUMBER, NOT a live formula -- it will not update if the Drivers tab's Bear column (E/F) is edited later. Re-run scripts/build_output_tab.py to refresh.</t>
        </is>
      </c>
    </row>
    <row r="783">
      <c r="A783" s="211" t="inlineStr">
        <is>
          <t>FY27 Q2</t>
        </is>
      </c>
      <c r="B783" s="211" t="inlineStr">
        <is>
          <t>FY2027 AOP</t>
        </is>
      </c>
      <c r="C783" s="212" t="inlineStr">
        <is>
          <t>Bear</t>
        </is>
      </c>
      <c r="D783" s="211" t="inlineStr">
        <is>
          <t>Operating Income</t>
        </is>
      </c>
      <c r="E783" s="213" t="n">
        <v>30878.632077712</v>
      </c>
      <c r="F783" s="214" t="inlineStr">
        <is>
          <t>IS!AG49 (snapshot, Bear)</t>
        </is>
      </c>
      <c r="G783" s="215" t="inlineStr">
        <is>
          <t>STATIC SNAPSHOT -- captured by toggling Drivers!B6='Bear' on a temp copy of this workbook, recalculating, and reading back IS!AG49. This is a LITERAL NUMBER, NOT a live formula -- it will not update if the Drivers tab's Bear column (E/F) is edited later. Re-run scripts/build_output_tab.py to refresh.</t>
        </is>
      </c>
    </row>
    <row r="784">
      <c r="A784" s="211" t="inlineStr">
        <is>
          <t>FY27 Q3</t>
        </is>
      </c>
      <c r="B784" s="211" t="inlineStr">
        <is>
          <t>FY2027 AOP</t>
        </is>
      </c>
      <c r="C784" s="212" t="inlineStr">
        <is>
          <t>Bear</t>
        </is>
      </c>
      <c r="D784" s="211" t="inlineStr">
        <is>
          <t>Operating Income</t>
        </is>
      </c>
      <c r="E784" s="213" t="n">
        <v>29813.8520727716</v>
      </c>
      <c r="F784" s="214" t="inlineStr">
        <is>
          <t>IS!AH49 (snapshot, Bear)</t>
        </is>
      </c>
      <c r="G784" s="215" t="inlineStr">
        <is>
          <t>STATIC SNAPSHOT -- captured by toggling Drivers!B6='Bear' on a temp copy of this workbook, recalculating, and reading back IS!AH49. This is a LITERAL NUMBER, NOT a live formula -- it will not update if the Drivers tab's Bear column (E/F) is edited later. Re-run scripts/build_output_tab.py to refresh.</t>
        </is>
      </c>
    </row>
    <row r="785">
      <c r="A785" s="211" t="inlineStr">
        <is>
          <t>FY27 Q4</t>
        </is>
      </c>
      <c r="B785" s="211" t="inlineStr">
        <is>
          <t>FY2027 AOP</t>
        </is>
      </c>
      <c r="C785" s="212" t="inlineStr">
        <is>
          <t>Bear</t>
        </is>
      </c>
      <c r="D785" s="211" t="inlineStr">
        <is>
          <t>Operating Income</t>
        </is>
      </c>
      <c r="E785" s="213" t="n">
        <v>32737.1081450767</v>
      </c>
      <c r="F785" s="214" t="inlineStr">
        <is>
          <t>IS!AI49 (snapshot, Bear)</t>
        </is>
      </c>
      <c r="G785" s="215" t="inlineStr">
        <is>
          <t>STATIC SNAPSHOT -- captured by toggling Drivers!B6='Bear' on a temp copy of this workbook, recalculating, and reading back IS!AI49. This is a LITERAL NUMBER, NOT a live formula -- it will not update if the Drivers tab's Bear column (E/F) is edited later. Re-run scripts/build_output_tab.py to refresh.</t>
        </is>
      </c>
    </row>
    <row r="786">
      <c r="A786" s="211" t="inlineStr">
        <is>
          <t>FY27 Total</t>
        </is>
      </c>
      <c r="B786" s="211" t="inlineStr">
        <is>
          <t>FY2027 AOP</t>
        </is>
      </c>
      <c r="C786" s="212" t="inlineStr">
        <is>
          <t>Bear</t>
        </is>
      </c>
      <c r="D786" s="211" t="inlineStr">
        <is>
          <t>Operating Income</t>
        </is>
      </c>
      <c r="E786" s="213" t="n">
        <v>133898.702490816</v>
      </c>
      <c r="F786" s="214" t="inlineStr">
        <is>
          <t>IS!AJ49 (snapshot, Bear)</t>
        </is>
      </c>
      <c r="G786" s="215" t="inlineStr">
        <is>
          <t>STATIC SNAPSHOT -- captured by toggling Drivers!B6='Bear' on a temp copy of this workbook, recalculating, and reading back IS!AJ49. This is a LITERAL NUMBER, NOT a live formula -- it will not update if the Drivers tab's Bear column (E/F) is edited later. Re-run scripts/build_output_tab.py to refresh.</t>
        </is>
      </c>
    </row>
    <row r="787">
      <c r="A787" s="211" t="inlineStr">
        <is>
          <t>FY27 Q1</t>
        </is>
      </c>
      <c r="B787" s="211" t="inlineStr">
        <is>
          <t>FY2027 AOP</t>
        </is>
      </c>
      <c r="C787" s="212" t="inlineStr">
        <is>
          <t>Bear</t>
        </is>
      </c>
      <c r="D787" s="211" t="inlineStr">
        <is>
          <t>Net Income</t>
        </is>
      </c>
      <c r="E787" s="213" t="n">
        <v>33184.6703601099</v>
      </c>
      <c r="F787" s="214" t="inlineStr">
        <is>
          <t>IS!AF53 (snapshot, Bear)</t>
        </is>
      </c>
      <c r="G787" s="215" t="inlineStr">
        <is>
          <t>STATIC SNAPSHOT -- captured by toggling Drivers!B6='Bear' on a temp copy of this workbook, recalculating, and reading back IS!AF53. This is a LITERAL NUMBER, NOT a live formula -- it will not update if the Drivers tab's Bear column (E/F) is edited later. Re-run scripts/build_output_tab.py to refresh.</t>
        </is>
      </c>
    </row>
    <row r="788">
      <c r="A788" s="211" t="inlineStr">
        <is>
          <t>FY27 Q2</t>
        </is>
      </c>
      <c r="B788" s="211" t="inlineStr">
        <is>
          <t>FY2027 AOP</t>
        </is>
      </c>
      <c r="C788" s="212" t="inlineStr">
        <is>
          <t>Bear</t>
        </is>
      </c>
      <c r="D788" s="211" t="inlineStr">
        <is>
          <t>Net Income</t>
        </is>
      </c>
      <c r="E788" s="213" t="n">
        <v>25320.4783037238</v>
      </c>
      <c r="F788" s="214" t="inlineStr">
        <is>
          <t>IS!AG53 (snapshot, Bear)</t>
        </is>
      </c>
      <c r="G788" s="215" t="inlineStr">
        <is>
          <t>STATIC SNAPSHOT -- captured by toggling Drivers!B6='Bear' on a temp copy of this workbook, recalculating, and reading back IS!AG53. This is a LITERAL NUMBER, NOT a live formula -- it will not update if the Drivers tab's Bear column (E/F) is edited later. Re-run scripts/build_output_tab.py to refresh.</t>
        </is>
      </c>
    </row>
    <row r="789">
      <c r="A789" s="211" t="inlineStr">
        <is>
          <t>FY27 Q3</t>
        </is>
      </c>
      <c r="B789" s="211" t="inlineStr">
        <is>
          <t>FY2027 AOP</t>
        </is>
      </c>
      <c r="C789" s="212" t="inlineStr">
        <is>
          <t>Bear</t>
        </is>
      </c>
      <c r="D789" s="211" t="inlineStr">
        <is>
          <t>Net Income</t>
        </is>
      </c>
      <c r="E789" s="213" t="n">
        <v>24447.3586996727</v>
      </c>
      <c r="F789" s="214" t="inlineStr">
        <is>
          <t>IS!AH53 (snapshot, Bear)</t>
        </is>
      </c>
      <c r="G789" s="215" t="inlineStr">
        <is>
          <t>STATIC SNAPSHOT -- captured by toggling Drivers!B6='Bear' on a temp copy of this workbook, recalculating, and reading back IS!AH53. This is a LITERAL NUMBER, NOT a live formula -- it will not update if the Drivers tab's Bear column (E/F) is edited later. Re-run scripts/build_output_tab.py to refresh.</t>
        </is>
      </c>
    </row>
    <row r="790">
      <c r="A790" s="211" t="inlineStr">
        <is>
          <t>FY27 Q4</t>
        </is>
      </c>
      <c r="B790" s="211" t="inlineStr">
        <is>
          <t>FY2027 AOP</t>
        </is>
      </c>
      <c r="C790" s="212" t="inlineStr">
        <is>
          <t>Bear</t>
        </is>
      </c>
      <c r="D790" s="211" t="inlineStr">
        <is>
          <t>Net Income</t>
        </is>
      </c>
      <c r="E790" s="213" t="n">
        <v>26844.4286789629</v>
      </c>
      <c r="F790" s="214" t="inlineStr">
        <is>
          <t>IS!AI53 (snapshot, Bear)</t>
        </is>
      </c>
      <c r="G790" s="215" t="inlineStr">
        <is>
          <t>STATIC SNAPSHOT -- captured by toggling Drivers!B6='Bear' on a temp copy of this workbook, recalculating, and reading back IS!AI53. This is a LITERAL NUMBER, NOT a live formula -- it will not update if the Drivers tab's Bear column (E/F) is edited later. Re-run scripts/build_output_tab.py to refresh.</t>
        </is>
      </c>
    </row>
    <row r="791">
      <c r="A791" s="211" t="inlineStr">
        <is>
          <t>FY27 Total</t>
        </is>
      </c>
      <c r="B791" s="211" t="inlineStr">
        <is>
          <t>FY2027 AOP</t>
        </is>
      </c>
      <c r="C791" s="212" t="inlineStr">
        <is>
          <t>Bear</t>
        </is>
      </c>
      <c r="D791" s="211" t="inlineStr">
        <is>
          <t>Net Income</t>
        </is>
      </c>
      <c r="E791" s="213" t="n">
        <v>109796.936042469</v>
      </c>
      <c r="F791" s="214" t="inlineStr">
        <is>
          <t>IS!AJ53 (snapshot, Bear)</t>
        </is>
      </c>
      <c r="G791" s="215" t="inlineStr">
        <is>
          <t>STATIC SNAPSHOT -- captured by toggling Drivers!B6='Bear' on a temp copy of this workbook, recalculating, and reading back IS!AJ53. This is a LITERAL NUMBER, NOT a live formula -- it will not update if the Drivers tab's Bear column (E/F) is edited later. Re-run scripts/build_output_tab.py to refresh.</t>
        </is>
      </c>
    </row>
    <row r="792">
      <c r="A792" s="211" t="inlineStr">
        <is>
          <t>FY27 Q1</t>
        </is>
      </c>
      <c r="B792" s="211" t="inlineStr">
        <is>
          <t>FY2027 AOP</t>
        </is>
      </c>
      <c r="C792" s="212" t="inlineStr">
        <is>
          <t>Bear</t>
        </is>
      </c>
      <c r="D792" s="211" t="inlineStr">
        <is>
          <t>EPS</t>
        </is>
      </c>
      <c r="E792" s="217" t="n">
        <v>2.25509457785587</v>
      </c>
      <c r="F792" s="214" t="inlineStr">
        <is>
          <t>IS!AF57 (snapshot, Bear)</t>
        </is>
      </c>
      <c r="G792" s="215" t="inlineStr">
        <is>
          <t>STATIC SNAPSHOT -- captured by toggling Drivers!B6='Bear' on a temp copy of this workbook, recalculating, and reading back IS!AF57. This is a LITERAL NUMBER, NOT a live formula -- it will not update if the Drivers tab's Bear column (E/F) is edited later. Re-run scripts/build_output_tab.py to refresh.</t>
        </is>
      </c>
    </row>
    <row r="793">
      <c r="A793" s="211" t="inlineStr">
        <is>
          <t>FY27 Q2</t>
        </is>
      </c>
      <c r="B793" s="211" t="inlineStr">
        <is>
          <t>FY2027 AOP</t>
        </is>
      </c>
      <c r="C793" s="212" t="inlineStr">
        <is>
          <t>Bear</t>
        </is>
      </c>
      <c r="D793" s="211" t="inlineStr">
        <is>
          <t>EPS</t>
        </is>
      </c>
      <c r="E793" s="217" t="n">
        <v>1.72067622525137</v>
      </c>
      <c r="F793" s="214" t="inlineStr">
        <is>
          <t>IS!AG57 (snapshot, Bear)</t>
        </is>
      </c>
      <c r="G793" s="215" t="inlineStr">
        <is>
          <t>STATIC SNAPSHOT -- captured by toggling Drivers!B6='Bear' on a temp copy of this workbook, recalculating, and reading back IS!AG57. This is a LITERAL NUMBER, NOT a live formula -- it will not update if the Drivers tab's Bear column (E/F) is edited later. Re-run scripts/build_output_tab.py to refresh.</t>
        </is>
      </c>
    </row>
    <row r="794">
      <c r="A794" s="211" t="inlineStr">
        <is>
          <t>FY27 Q3</t>
        </is>
      </c>
      <c r="B794" s="211" t="inlineStr">
        <is>
          <t>FY2027 AOP</t>
        </is>
      </c>
      <c r="C794" s="212" t="inlineStr">
        <is>
          <t>Bear</t>
        </is>
      </c>
      <c r="D794" s="211" t="inlineStr">
        <is>
          <t>EPS</t>
        </is>
      </c>
      <c r="E794" s="217" t="n">
        <v>1.66134258524384</v>
      </c>
      <c r="F794" s="214" t="inlineStr">
        <is>
          <t>IS!AH57 (snapshot, Bear)</t>
        </is>
      </c>
      <c r="G794" s="215" t="inlineStr">
        <is>
          <t>STATIC SNAPSHOT -- captured by toggling Drivers!B6='Bear' on a temp copy of this workbook, recalculating, and reading back IS!AH57. This is a LITERAL NUMBER, NOT a live formula -- it will not update if the Drivers tab's Bear column (E/F) is edited later. Re-run scripts/build_output_tab.py to refresh.</t>
        </is>
      </c>
    </row>
    <row r="795">
      <c r="A795" s="211" t="inlineStr">
        <is>
          <t>FY27 Q4</t>
        </is>
      </c>
      <c r="B795" s="211" t="inlineStr">
        <is>
          <t>FY2027 AOP</t>
        </is>
      </c>
      <c r="C795" s="212" t="inlineStr">
        <is>
          <t>Bear</t>
        </is>
      </c>
      <c r="D795" s="211" t="inlineStr">
        <is>
          <t>EPS</t>
        </is>
      </c>
      <c r="E795" s="217" t="n">
        <v>1.82423766463978</v>
      </c>
      <c r="F795" s="214" t="inlineStr">
        <is>
          <t>IS!AI57 (snapshot, Bear)</t>
        </is>
      </c>
      <c r="G795" s="215" t="inlineStr">
        <is>
          <t>STATIC SNAPSHOT -- captured by toggling Drivers!B6='Bear' on a temp copy of this workbook, recalculating, and reading back IS!AI57. This is a LITERAL NUMBER, NOT a live formula -- it will not update if the Drivers tab's Bear column (E/F) is edited later. Re-run scripts/build_output_tab.py to refresh.</t>
        </is>
      </c>
    </row>
    <row r="796">
      <c r="A796" s="211" t="inlineStr">
        <is>
          <t>FY27 Total</t>
        </is>
      </c>
      <c r="B796" s="211" t="inlineStr">
        <is>
          <t>FY2027 AOP</t>
        </is>
      </c>
      <c r="C796" s="212" t="inlineStr">
        <is>
          <t>Bear</t>
        </is>
      </c>
      <c r="D796" s="211" t="inlineStr">
        <is>
          <t>EPS</t>
        </is>
      </c>
      <c r="E796" s="217" t="n">
        <v>7.46135105299085</v>
      </c>
      <c r="F796" s="214" t="inlineStr">
        <is>
          <t>IS!AJ57 (snapshot, Bear)</t>
        </is>
      </c>
      <c r="G796" s="215" t="inlineStr">
        <is>
          <t>STATIC SNAPSHOT -- captured by toggling Drivers!B6='Bear' on a temp copy of this workbook, recalculating, and reading back IS!AJ57. This is a LITERAL NUMBER, NOT a live formula -- it will not update if the Drivers tab's Bear column (E/F) is edited later. Re-run scripts/build_output_tab.py to refresh.</t>
        </is>
      </c>
    </row>
    <row r="797">
      <c r="A797" s="211" t="inlineStr">
        <is>
          <t>FY27 Q1</t>
        </is>
      </c>
      <c r="B797" s="211" t="inlineStr">
        <is>
          <t>FY2027 AOP</t>
        </is>
      </c>
      <c r="C797" s="212" t="inlineStr">
        <is>
          <t>Bear</t>
        </is>
      </c>
      <c r="D797" s="211" t="inlineStr">
        <is>
          <t>FCF</t>
        </is>
      </c>
      <c r="E797" s="213" t="n">
        <v>37904.757193036</v>
      </c>
      <c r="F797" s="214" t="inlineStr">
        <is>
          <t>CF!AF32 (snapshot, Bear)</t>
        </is>
      </c>
      <c r="G797" s="215" t="inlineStr">
        <is>
          <t>STATIC SNAPSHOT -- captured by toggling Drivers!B6='Bear' on a temp copy of this workbook, recalculating, and reading back CF!AF32. This is a LITERAL NUMBER, NOT a live formula -- it will not update if the Drivers tab's Bear column (E/F) is edited later. Re-run scripts/build_output_tab.py to refresh.</t>
        </is>
      </c>
    </row>
    <row r="798">
      <c r="A798" s="211" t="inlineStr">
        <is>
          <t>FY27 Q2</t>
        </is>
      </c>
      <c r="B798" s="211" t="inlineStr">
        <is>
          <t>FY2027 AOP</t>
        </is>
      </c>
      <c r="C798" s="212" t="inlineStr">
        <is>
          <t>Bear</t>
        </is>
      </c>
      <c r="D798" s="211" t="inlineStr">
        <is>
          <t>FCF</t>
        </is>
      </c>
      <c r="E798" s="213" t="n">
        <v>20285.9486509231</v>
      </c>
      <c r="F798" s="214" t="inlineStr">
        <is>
          <t>CF!AG32 (snapshot, Bear)</t>
        </is>
      </c>
      <c r="G798" s="215" t="inlineStr">
        <is>
          <t>STATIC SNAPSHOT -- captured by toggling Drivers!B6='Bear' on a temp copy of this workbook, recalculating, and reading back CF!AG32. This is a LITERAL NUMBER, NOT a live formula -- it will not update if the Drivers tab's Bear column (E/F) is edited later. Re-run scripts/build_output_tab.py to refresh.</t>
        </is>
      </c>
    </row>
    <row r="799">
      <c r="A799" s="211" t="inlineStr">
        <is>
          <t>FY27 Q3</t>
        </is>
      </c>
      <c r="B799" s="211" t="inlineStr">
        <is>
          <t>FY2027 AOP</t>
        </is>
      </c>
      <c r="C799" s="212" t="inlineStr">
        <is>
          <t>Bear</t>
        </is>
      </c>
      <c r="D799" s="211" t="inlineStr">
        <is>
          <t>FCF</t>
        </is>
      </c>
      <c r="E799" s="213" t="n">
        <v>23137.3322427691</v>
      </c>
      <c r="F799" s="214" t="inlineStr">
        <is>
          <t>CF!AH32 (snapshot, Bear)</t>
        </is>
      </c>
      <c r="G799" s="215" t="inlineStr">
        <is>
          <t>STATIC SNAPSHOT -- captured by toggling Drivers!B6='Bear' on a temp copy of this workbook, recalculating, and reading back CF!AH32. This is a LITERAL NUMBER, NOT a live formula -- it will not update if the Drivers tab's Bear column (E/F) is edited later. Re-run scripts/build_output_tab.py to refresh.</t>
        </is>
      </c>
    </row>
    <row r="800">
      <c r="A800" s="211" t="inlineStr">
        <is>
          <t>FY27 Q4</t>
        </is>
      </c>
      <c r="B800" s="211" t="inlineStr">
        <is>
          <t>FY2027 AOP</t>
        </is>
      </c>
      <c r="C800" s="212" t="inlineStr">
        <is>
          <t>Bear</t>
        </is>
      </c>
      <c r="D800" s="211" t="inlineStr">
        <is>
          <t>FCF</t>
        </is>
      </c>
      <c r="E800" s="213" t="n">
        <v>27179.2115363411</v>
      </c>
      <c r="F800" s="214" t="inlineStr">
        <is>
          <t>CF!AI32 (snapshot, Bear)</t>
        </is>
      </c>
      <c r="G800" s="215" t="inlineStr">
        <is>
          <t>STATIC SNAPSHOT -- captured by toggling Drivers!B6='Bear' on a temp copy of this workbook, recalculating, and reading back CF!AI32. This is a LITERAL NUMBER, NOT a live formula -- it will not update if the Drivers tab's Bear column (E/F) is edited later. Re-run scripts/build_output_tab.py to refresh.</t>
        </is>
      </c>
    </row>
    <row r="801">
      <c r="A801" s="211" t="inlineStr">
        <is>
          <t>FY27 Total</t>
        </is>
      </c>
      <c r="B801" s="211" t="inlineStr">
        <is>
          <t>FY2027 AOP</t>
        </is>
      </c>
      <c r="C801" s="212" t="inlineStr">
        <is>
          <t>Bear</t>
        </is>
      </c>
      <c r="D801" s="211" t="inlineStr">
        <is>
          <t>FCF</t>
        </is>
      </c>
      <c r="E801" s="213" t="n">
        <v>108507.249623069</v>
      </c>
      <c r="F801" s="214" t="inlineStr">
        <is>
          <t>CF!AJ32 (snapshot, Bear)</t>
        </is>
      </c>
      <c r="G801" s="215" t="inlineStr">
        <is>
          <t>STATIC SNAPSHOT -- captured by toggling Drivers!B6='Bear' on a temp copy of this workbook, recalculating, and reading back CF!AJ32. This is a LITERAL NUMBER, NOT a live formula -- it will not update if the Drivers tab's Bear column (E/F) is edited later. Re-run scripts/build_output_tab.py to refresh.</t>
        </is>
      </c>
    </row>
    <row r="802">
      <c r="A802" s="211" t="inlineStr">
        <is>
          <t>FY27 Q1</t>
        </is>
      </c>
      <c r="B802" s="211" t="inlineStr">
        <is>
          <t>FY2027 AOP</t>
        </is>
      </c>
      <c r="C802" s="212" t="inlineStr">
        <is>
          <t>Bear</t>
        </is>
      </c>
      <c r="D802" s="211" t="inlineStr">
        <is>
          <t>Cash</t>
        </is>
      </c>
      <c r="E802" s="213" t="n">
        <v>49167.2409479235</v>
      </c>
      <c r="F802" s="214" t="inlineStr">
        <is>
          <t>BS!AF9 (snapshot, Bear)</t>
        </is>
      </c>
      <c r="G802" s="215" t="inlineStr">
        <is>
          <t>STATIC SNAPSHOT -- captured by toggling Drivers!B6='Bear' on a temp copy of this workbook, recalculating, and reading back BS!AF9. This is a LITERAL NUMBER, NOT a live formula -- it will not update if the Drivers tab's Bear column (E/F) is edited later. Re-run scripts/build_output_tab.py to refresh.</t>
        </is>
      </c>
    </row>
    <row r="803">
      <c r="A803" s="211" t="inlineStr">
        <is>
          <t>FY27 Q2</t>
        </is>
      </c>
      <c r="B803" s="211" t="inlineStr">
        <is>
          <t>FY2027 AOP</t>
        </is>
      </c>
      <c r="C803" s="212" t="inlineStr">
        <is>
          <t>Bear</t>
        </is>
      </c>
      <c r="D803" s="211" t="inlineStr">
        <is>
          <t>Cash</t>
        </is>
      </c>
      <c r="E803" s="213" t="n">
        <v>50693.861148133</v>
      </c>
      <c r="F803" s="214" t="inlineStr">
        <is>
          <t>BS!AG9 (snapshot, Bear)</t>
        </is>
      </c>
      <c r="G803" s="215" t="inlineStr">
        <is>
          <t>STATIC SNAPSHOT -- captured by toggling Drivers!B6='Bear' on a temp copy of this workbook, recalculating, and reading back BS!AG9. This is a LITERAL NUMBER, NOT a live formula -- it will not update if the Drivers tab's Bear column (E/F) is edited later. Re-run scripts/build_output_tab.py to refresh.</t>
        </is>
      </c>
    </row>
    <row r="804">
      <c r="A804" s="211" t="inlineStr">
        <is>
          <t>FY27 Q3</t>
        </is>
      </c>
      <c r="B804" s="211" t="inlineStr">
        <is>
          <t>FY2027 AOP</t>
        </is>
      </c>
      <c r="C804" s="212" t="inlineStr">
        <is>
          <t>Bear</t>
        </is>
      </c>
      <c r="D804" s="211" t="inlineStr">
        <is>
          <t>Cash</t>
        </is>
      </c>
      <c r="E804" s="213" t="n">
        <v>53055.5639908711</v>
      </c>
      <c r="F804" s="214" t="inlineStr">
        <is>
          <t>BS!AH9 (snapshot, Bear)</t>
        </is>
      </c>
      <c r="G804" s="215" t="inlineStr">
        <is>
          <t>STATIC SNAPSHOT -- captured by toggling Drivers!B6='Bear' on a temp copy of this workbook, recalculating, and reading back BS!AH9. This is a LITERAL NUMBER, NOT a live formula -- it will not update if the Drivers tab's Bear column (E/F) is edited later. Re-run scripts/build_output_tab.py to refresh.</t>
        </is>
      </c>
    </row>
    <row r="805">
      <c r="A805" s="211" t="inlineStr">
        <is>
          <t>FY27 Q4</t>
        </is>
      </c>
      <c r="B805" s="211" t="inlineStr">
        <is>
          <t>FY2027 AOP</t>
        </is>
      </c>
      <c r="C805" s="212" t="inlineStr">
        <is>
          <t>Bear</t>
        </is>
      </c>
      <c r="D805" s="211" t="inlineStr">
        <is>
          <t>Cash</t>
        </is>
      </c>
      <c r="E805" s="213" t="n">
        <v>56092.1468599015</v>
      </c>
      <c r="F805" s="214" t="inlineStr">
        <is>
          <t>BS!AI9 (snapshot, Bear)</t>
        </is>
      </c>
      <c r="G805" s="215" t="inlineStr">
        <is>
          <t>STATIC SNAPSHOT -- captured by toggling Drivers!B6='Bear' on a temp copy of this workbook, recalculating, and reading back BS!AI9. This is a LITERAL NUMBER, NOT a live formula -- it will not update if the Drivers tab's Bear column (E/F) is edited later. Re-run scripts/build_output_tab.py to refresh.</t>
        </is>
      </c>
    </row>
    <row r="806">
      <c r="A806" s="211" t="inlineStr">
        <is>
          <t>FY27 Total</t>
        </is>
      </c>
      <c r="B806" s="211" t="inlineStr">
        <is>
          <t>FY2027 AOP</t>
        </is>
      </c>
      <c r="C806" s="212" t="inlineStr">
        <is>
          <t>Bear</t>
        </is>
      </c>
      <c r="D806" s="211" t="inlineStr">
        <is>
          <t>Cash</t>
        </is>
      </c>
      <c r="E806" s="213" t="n">
        <v>56092.1468599015</v>
      </c>
      <c r="F806" s="214" t="inlineStr">
        <is>
          <t>BS!AJ9 (snapshot, Bear)</t>
        </is>
      </c>
      <c r="G806" s="215" t="inlineStr">
        <is>
          <t>STATIC SNAPSHOT -- captured by toggling Drivers!B6='Bear' on a temp copy of this workbook, recalculating, and reading back BS!AJ9. This is a LITERAL NUMBER, NOT a live formula -- it will not update if the Drivers tab's Bear column (E/F) is edited later. Re-run scripts/build_output_tab.py to refresh.</t>
        </is>
      </c>
    </row>
    <row r="807">
      <c r="A807" s="129" t="n"/>
      <c r="B807" s="129" t="n"/>
      <c r="C807" s="129" t="n"/>
      <c r="D807" s="129" t="n"/>
      <c r="E807" s="129" t="n"/>
      <c r="F807" s="129" t="n"/>
      <c r="G807" s="129" t="n"/>
    </row>
    <row r="808" ht="28" customHeight="1">
      <c r="A808" s="154" t="inlineStr">
        <is>
          <t>ROW COUNT: 156 Actual rows + 472 forecast-vintage rows (FY2026 Approved AOP / Q1 Forecast Update / Q3 Reforecast / FY2027 AOP, scenario=Base) + 88 Forecast Bridge variance rows + 80 Bull/Bear static-snapshot rows (FY2027 AOP headline metrics only) = 796 total data rows.</t>
        </is>
      </c>
      <c r="B808" s="218" t="n"/>
      <c r="C808" s="218" t="n"/>
      <c r="D808" s="218" t="n"/>
      <c r="E808" s="218" t="n"/>
      <c r="F808" s="218" t="n"/>
      <c r="G808" s="219" t="n"/>
    </row>
  </sheetData>
  <mergeCells count="7">
    <mergeCell ref="A4:E4"/>
    <mergeCell ref="A1:G1"/>
    <mergeCell ref="A3:G3"/>
    <mergeCell ref="A6:G6"/>
    <mergeCell ref="A2:G2"/>
    <mergeCell ref="A5:G5"/>
    <mergeCell ref="A808:G808"/>
  </mergeCells>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Mengru Shi</dc:creator>
  <dc:subject xmlns:dc="http://purl.org/dc/elements/1.1/">Independent Apple FP&amp;A case study using public information</dc:subject>
  <dcterms:created xmlns:dcterms="http://purl.org/dc/terms/" xmlns:xsi="http://www.w3.org/2001/XMLSchema-instance" xsi:type="dcterms:W3CDTF">2026-08-04T17:16:24Z</dcterms:created>
  <dcterms:modified xmlns:dcterms="http://purl.org/dc/terms/" xmlns:xsi="http://www.w3.org/2001/XMLSchema-instance" xsi:type="dcterms:W3CDTF">2026-08-05T15:13:02Z</dcterms:modified>
  <cp:lastModifiedBy>Mengru Shi</cp:lastModifiedBy>
  <cp:keywords>FP&amp;A, public data, draft, August 2026</cp:keywords>
</cp:coreProperties>
</file>